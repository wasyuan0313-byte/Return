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137592c9b14a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列明細表" sheetId="1" r:id="R014d473cff764cae"/>
    <x:sheet xmlns:r="http://schemas.openxmlformats.org/officeDocument/2006/relationships" name="後台回饋明細" sheetId="2" r:id="Rd98b11528a964bbc"/>
    <x:sheet xmlns:r="http://schemas.openxmlformats.org/officeDocument/2006/relationships" name="統計總表" sheetId="3" r:id="Rd7ef041e336f483b"/>
    <x:sheet xmlns:r="http://schemas.openxmlformats.org/officeDocument/2006/relationships" name="單位用量分析" sheetId="4" r:id="R9aa7073a42dd4b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0"/>
  </x:numFmts>
  <x:fonts count="3">
    <x:font>
      <x:sz val="11"/>
      <x:name val="Carlito"/>
    </x:font>
    <x:font>
      <x:b/>
      <x:sz val="10"/>
      <x:color rgb="FFFFFFFF"/>
      <x:name val="Microsoft JhengHei"/>
    </x:font>
    <x:font>
      <x:sz val="10"/>
      <x:color rgb="FF1F2937"/>
      <x:name val="Microsoft JhengHei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horizontal="center" wrapText="1"/>
    </x:xf>
    <x:xf numFmtId="0" fontId="2" fillId="0" borderId="1" xfId="0" applyNumberFormat="1" applyFont="1" applyFill="1" applyBorder="1" applyAlignment="1">
      <x:alignment horizontal="center" vertical="center" wrapText="1"/>
    </x:xf>
    <x:xf numFmtId="200" fontId="2" fillId="0" borderId="1" xfId="0" applyNumberFormat="1" applyFont="1" applyFill="1" applyBorder="1" applyAlignment="1">
      <x:alignment horizontal="center" vertical="center" wrapText="1"/>
    </x:xf>
    <x:xf numFmtId="201" fontId="2" fillId="0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0b0a2d199a43dd" /><Relationship Type="http://schemas.openxmlformats.org/officeDocument/2006/relationships/theme" Target="/xl/theme/theme1.xml" Id="Rd6dc37adaaec4e40" /><Relationship Type="http://schemas.openxmlformats.org/officeDocument/2006/relationships/sharedStrings" Target="/xl/sharedStrings.xml" Id="Rab27430e8c174a5f" /><Relationship Type="http://schemas.openxmlformats.org/officeDocument/2006/relationships/worksheet" Target="/xl/worksheets/sheet1.xml" Id="R014d473cff764cae" /><Relationship Type="http://schemas.openxmlformats.org/officeDocument/2006/relationships/worksheet" Target="/xl/worksheets/sheet2.xml" Id="Rd98b11528a964bbc" /><Relationship Type="http://schemas.openxmlformats.org/officeDocument/2006/relationships/worksheet" Target="/xl/worksheets/sheet3.xml" Id="Rd7ef041e336f483b" /><Relationship Type="http://schemas.openxmlformats.org/officeDocument/2006/relationships/worksheet" Target="/xl/worksheets/sheet4.xml" Id="R9aa7073a42dd4b0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5" hidden="0" customWidth="1"/>
    <x:col min="4" max="4" width="10" hidden="0" customWidth="1"/>
    <x:col min="5" max="5" width="13" hidden="0" customWidth="1"/>
    <x:col min="6" max="6" width="20" hidden="0" customWidth="1"/>
    <x:col min="7" max="7" width="11" hidden="0" customWidth="1"/>
    <x:col min="8" max="8" width="11" hidden="0" customWidth="1"/>
    <x:col min="9" max="9" width="34" hidden="0" customWidth="1"/>
    <x:col min="10" max="10" width="28" hidden="0" customWidth="1"/>
  </x:cols>
  <x:sheetData>
    <x:row r="1" ht="34" customHeight="1">
      <x:c r="A1" s="6" t="str">
        <x:v>施工日期</x:v>
      </x:c>
      <x:c r="B1" s="6" t="str">
        <x:v>主辦工程師</x:v>
      </x:c>
      <x:c r="C1" s="6" t="str">
        <x:v>工項</x:v>
      </x:c>
      <x:c r="D1" s="6" t="str">
        <x:v>樓層</x:v>
      </x:c>
      <x:c r="E1" s="6" t="str">
        <x:v>房號</x:v>
      </x:c>
      <x:c r="F1" s="6" t="str">
        <x:v>空間</x:v>
      </x:c>
      <x:c r="G1" s="6" t="str">
        <x:v>位置</x:v>
      </x:c>
      <x:c r="H1" s="6" t="str">
        <x:v>出工人數</x:v>
      </x:c>
      <x:c r="I1" s="6" t="str">
        <x:v>材料數量明細</x:v>
      </x:c>
      <x:c r="J1" s="6" t="str">
        <x:v>備註</x:v>
      </x:c>
    </x:row>
    <x:row r="2" ht="22" customHeight="1">
      <x:c r="A2" s="11"/>
      <x:c r="B2" s="11"/>
      <x:c r="C2" s="11"/>
      <x:c r="D2" s="11"/>
      <x:c r="E2" s="11"/>
      <x:c r="F2" s="11"/>
      <x:c r="G2" s="11"/>
      <x:c r="H2" s="12"/>
      <x:c r="I2" s="11"/>
      <x:c r="J2" s="11"/>
    </x:row>
    <x:row r="3" ht="22" customHeight="1">
      <x:c r="A3" s="11"/>
      <x:c r="B3" s="11"/>
      <x:c r="C3" s="11"/>
      <x:c r="D3" s="11"/>
      <x:c r="E3" s="11"/>
      <x:c r="F3" s="11"/>
      <x:c r="G3" s="11"/>
      <x:c r="H3" s="12"/>
      <x:c r="I3" s="11"/>
      <x:c r="J3" s="11"/>
    </x:row>
    <x:row r="4" ht="22" customHeight="1">
      <x:c r="A4" s="11"/>
      <x:c r="B4" s="11"/>
      <x:c r="C4" s="11"/>
      <x:c r="D4" s="11"/>
      <x:c r="E4" s="11"/>
      <x:c r="F4" s="11"/>
      <x:c r="G4" s="11"/>
      <x:c r="H4" s="12"/>
      <x:c r="I4" s="11"/>
      <x:c r="J4" s="11"/>
    </x:row>
    <x:row r="5" ht="22" customHeight="1">
      <x:c r="A5" s="11"/>
      <x:c r="B5" s="11"/>
      <x:c r="C5" s="11"/>
      <x:c r="D5" s="11"/>
      <x:c r="E5" s="11"/>
      <x:c r="F5" s="11"/>
      <x:c r="G5" s="11"/>
      <x:c r="H5" s="12"/>
      <x:c r="I5" s="11"/>
      <x:c r="J5" s="11"/>
    </x:row>
    <x:row r="6" ht="22" customHeight="1">
      <x:c r="A6" s="11"/>
      <x:c r="B6" s="11"/>
      <x:c r="C6" s="11"/>
      <x:c r="D6" s="11"/>
      <x:c r="E6" s="11"/>
      <x:c r="F6" s="11"/>
      <x:c r="G6" s="11"/>
      <x:c r="H6" s="12"/>
      <x:c r="I6" s="11"/>
      <x:c r="J6" s="11"/>
    </x:row>
    <x:row r="7" ht="22" customHeight="1">
      <x:c r="A7" s="11"/>
      <x:c r="B7" s="11"/>
      <x:c r="C7" s="11"/>
      <x:c r="D7" s="11"/>
      <x:c r="E7" s="11"/>
      <x:c r="F7" s="11"/>
      <x:c r="G7" s="11"/>
      <x:c r="H7" s="12"/>
      <x:c r="I7" s="11"/>
      <x:c r="J7" s="11"/>
    </x:row>
    <x:row r="8" ht="22" customHeight="1">
      <x:c r="A8" s="11"/>
      <x:c r="B8" s="11"/>
      <x:c r="C8" s="11"/>
      <x:c r="D8" s="11"/>
      <x:c r="E8" s="11"/>
      <x:c r="F8" s="11"/>
      <x:c r="G8" s="11"/>
      <x:c r="H8" s="12"/>
      <x:c r="I8" s="11"/>
      <x:c r="J8" s="11"/>
    </x:row>
    <x:row r="9" ht="22" customHeight="1">
      <x:c r="A9" s="11"/>
      <x:c r="B9" s="11"/>
      <x:c r="C9" s="11"/>
      <x:c r="D9" s="11"/>
      <x:c r="E9" s="11"/>
      <x:c r="F9" s="11"/>
      <x:c r="G9" s="11"/>
      <x:c r="H9" s="12"/>
      <x:c r="I9" s="11"/>
      <x:c r="J9" s="11"/>
    </x:row>
    <x:row r="10" ht="22" customHeight="1">
      <x:c r="A10" s="11"/>
      <x:c r="B10" s="11"/>
      <x:c r="C10" s="11"/>
      <x:c r="D10" s="11"/>
      <x:c r="E10" s="11"/>
      <x:c r="F10" s="11"/>
      <x:c r="G10" s="11"/>
      <x:c r="H10" s="12"/>
      <x:c r="I10" s="11"/>
      <x:c r="J10" s="11"/>
    </x:row>
    <x:row r="11" ht="22" customHeight="1">
      <x:c r="A11" s="11"/>
      <x:c r="B11" s="11"/>
      <x:c r="C11" s="11"/>
      <x:c r="D11" s="11"/>
      <x:c r="E11" s="11"/>
      <x:c r="F11" s="11"/>
      <x:c r="G11" s="11"/>
      <x:c r="H11" s="12"/>
      <x:c r="I11" s="11"/>
      <x:c r="J11" s="11"/>
    </x:row>
    <x:row r="12" ht="22" customHeight="1">
      <x:c r="A12" s="11"/>
      <x:c r="B12" s="11"/>
      <x:c r="C12" s="11"/>
      <x:c r="D12" s="11"/>
      <x:c r="E12" s="11"/>
      <x:c r="F12" s="11"/>
      <x:c r="G12" s="11"/>
      <x:c r="H12" s="12"/>
      <x:c r="I12" s="11"/>
      <x:c r="J12" s="11"/>
    </x:row>
    <x:row r="13" ht="22" customHeight="1">
      <x:c r="A13" s="11"/>
      <x:c r="B13" s="11"/>
      <x:c r="C13" s="11"/>
      <x:c r="D13" s="11"/>
      <x:c r="E13" s="11"/>
      <x:c r="F13" s="11"/>
      <x:c r="G13" s="11"/>
      <x:c r="H13" s="12"/>
      <x:c r="I13" s="11"/>
      <x:c r="J13" s="11"/>
    </x:row>
    <x:row r="14" ht="22" customHeight="1">
      <x:c r="A14" s="11"/>
      <x:c r="B14" s="11"/>
      <x:c r="C14" s="11"/>
      <x:c r="D14" s="11"/>
      <x:c r="E14" s="11"/>
      <x:c r="F14" s="11"/>
      <x:c r="G14" s="11"/>
      <x:c r="H14" s="12"/>
      <x:c r="I14" s="11"/>
      <x:c r="J14" s="11"/>
    </x:row>
    <x:row r="15" ht="22" customHeight="1">
      <x:c r="A15" s="11"/>
      <x:c r="B15" s="11"/>
      <x:c r="C15" s="11"/>
      <x:c r="D15" s="11"/>
      <x:c r="E15" s="11"/>
      <x:c r="F15" s="11"/>
      <x:c r="G15" s="11"/>
      <x:c r="H15" s="12"/>
      <x:c r="I15" s="11"/>
      <x:c r="J15" s="11"/>
    </x:row>
    <x:row r="16" ht="22" customHeight="1">
      <x:c r="A16" s="11"/>
      <x:c r="B16" s="11"/>
      <x:c r="C16" s="11"/>
      <x:c r="D16" s="11"/>
      <x:c r="E16" s="11"/>
      <x:c r="F16" s="11"/>
      <x:c r="G16" s="11"/>
      <x:c r="H16" s="12"/>
      <x:c r="I16" s="11"/>
      <x:c r="J16" s="11"/>
    </x:row>
    <x:row r="17" ht="22" customHeight="1">
      <x:c r="A17" s="11"/>
      <x:c r="B17" s="11"/>
      <x:c r="C17" s="11"/>
      <x:c r="D17" s="11"/>
      <x:c r="E17" s="11"/>
      <x:c r="F17" s="11"/>
      <x:c r="G17" s="11"/>
      <x:c r="H17" s="12"/>
      <x:c r="I17" s="11"/>
      <x:c r="J17" s="11"/>
    </x:row>
    <x:row r="18" ht="22" customHeight="1">
      <x:c r="A18" s="11"/>
      <x:c r="B18" s="11"/>
      <x:c r="C18" s="11"/>
      <x:c r="D18" s="11"/>
      <x:c r="E18" s="11"/>
      <x:c r="F18" s="11"/>
      <x:c r="G18" s="11"/>
      <x:c r="H18" s="12"/>
      <x:c r="I18" s="11"/>
      <x:c r="J18" s="11"/>
    </x:row>
    <x:row r="19" ht="22" customHeight="1">
      <x:c r="A19" s="11"/>
      <x:c r="B19" s="11"/>
      <x:c r="C19" s="11"/>
      <x:c r="D19" s="11"/>
      <x:c r="E19" s="11"/>
      <x:c r="F19" s="11"/>
      <x:c r="G19" s="11"/>
      <x:c r="H19" s="12"/>
      <x:c r="I19" s="11"/>
      <x:c r="J19" s="11"/>
    </x:row>
    <x:row r="20" ht="22" customHeight="1">
      <x:c r="A20" s="11"/>
      <x:c r="B20" s="11"/>
      <x:c r="C20" s="11"/>
      <x:c r="D20" s="11"/>
      <x:c r="E20" s="11"/>
      <x:c r="F20" s="11"/>
      <x:c r="G20" s="11"/>
      <x:c r="H20" s="12"/>
      <x:c r="I20" s="11"/>
      <x:c r="J20" s="11"/>
    </x:row>
    <x:row r="21" ht="22" customHeight="1">
      <x:c r="A21" s="11"/>
      <x:c r="B21" s="11"/>
      <x:c r="C21" s="11"/>
      <x:c r="D21" s="11"/>
      <x:c r="E21" s="11"/>
      <x:c r="F21" s="11"/>
      <x:c r="G21" s="11"/>
      <x:c r="H21" s="12"/>
      <x:c r="I21" s="11"/>
      <x:c r="J21" s="11"/>
    </x:row>
    <x:row r="22" ht="22" customHeight="1">
      <x:c r="A22" s="11"/>
      <x:c r="B22" s="11"/>
      <x:c r="C22" s="11"/>
      <x:c r="D22" s="11"/>
      <x:c r="E22" s="11"/>
      <x:c r="F22" s="11"/>
      <x:c r="G22" s="11"/>
      <x:c r="H22" s="12"/>
      <x:c r="I22" s="11"/>
      <x:c r="J22" s="11"/>
    </x:row>
    <x:row r="23" ht="22" customHeight="1">
      <x:c r="A23" s="11"/>
      <x:c r="B23" s="11"/>
      <x:c r="C23" s="11"/>
      <x:c r="D23" s="11"/>
      <x:c r="E23" s="11"/>
      <x:c r="F23" s="11"/>
      <x:c r="G23" s="11"/>
      <x:c r="H23" s="12"/>
      <x:c r="I23" s="11"/>
      <x:c r="J23" s="11"/>
    </x:row>
    <x:row r="24" ht="22" customHeight="1">
      <x:c r="A24" s="11"/>
      <x:c r="B24" s="11"/>
      <x:c r="C24" s="11"/>
      <x:c r="D24" s="11"/>
      <x:c r="E24" s="11"/>
      <x:c r="F24" s="11"/>
      <x:c r="G24" s="11"/>
      <x:c r="H24" s="12"/>
      <x:c r="I24" s="11"/>
      <x:c r="J24" s="11"/>
    </x:row>
    <x:row r="25" ht="22" customHeight="1">
      <x:c r="A25" s="11"/>
      <x:c r="B25" s="11"/>
      <x:c r="C25" s="11"/>
      <x:c r="D25" s="11"/>
      <x:c r="E25" s="11"/>
      <x:c r="F25" s="11"/>
      <x:c r="G25" s="11"/>
      <x:c r="H25" s="12"/>
      <x:c r="I25" s="11"/>
      <x:c r="J25" s="11"/>
    </x:row>
    <x:row r="26" ht="22" customHeight="1">
      <x:c r="A26" s="11"/>
      <x:c r="B26" s="11"/>
      <x:c r="C26" s="11"/>
      <x:c r="D26" s="11"/>
      <x:c r="E26" s="11"/>
      <x:c r="F26" s="11"/>
      <x:c r="G26" s="11"/>
      <x:c r="H26" s="12"/>
      <x:c r="I26" s="11"/>
      <x:c r="J26" s="11"/>
    </x:row>
    <x:row r="27" ht="22" customHeight="1">
      <x:c r="A27" s="11"/>
      <x:c r="B27" s="11"/>
      <x:c r="C27" s="11"/>
      <x:c r="D27" s="11"/>
      <x:c r="E27" s="11"/>
      <x:c r="F27" s="11"/>
      <x:c r="G27" s="11"/>
      <x:c r="H27" s="12"/>
      <x:c r="I27" s="11"/>
      <x:c r="J27" s="11"/>
    </x:row>
    <x:row r="28" ht="22" customHeight="1">
      <x:c r="A28" s="11"/>
      <x:c r="B28" s="11"/>
      <x:c r="C28" s="11"/>
      <x:c r="D28" s="11"/>
      <x:c r="E28" s="11"/>
      <x:c r="F28" s="11"/>
      <x:c r="G28" s="11"/>
      <x:c r="H28" s="12"/>
      <x:c r="I28" s="11"/>
      <x:c r="J28" s="11"/>
    </x:row>
    <x:row r="29" ht="22" customHeight="1">
      <x:c r="A29" s="11"/>
      <x:c r="B29" s="11"/>
      <x:c r="C29" s="11"/>
      <x:c r="D29" s="11"/>
      <x:c r="E29" s="11"/>
      <x:c r="F29" s="11"/>
      <x:c r="G29" s="11"/>
      <x:c r="H29" s="12"/>
      <x:c r="I29" s="11"/>
      <x:c r="J29" s="11"/>
    </x:row>
    <x:row r="30" ht="22" customHeight="1">
      <x:c r="A30" s="11"/>
      <x:c r="B30" s="11"/>
      <x:c r="C30" s="11"/>
      <x:c r="D30" s="11"/>
      <x:c r="E30" s="11"/>
      <x:c r="F30" s="11"/>
      <x:c r="G30" s="11"/>
      <x:c r="H30" s="12"/>
      <x:c r="I30" s="11"/>
      <x:c r="J30" s="11"/>
    </x:row>
    <x:row r="31" ht="22" customHeight="1">
      <x:c r="A31" s="11"/>
      <x:c r="B31" s="11"/>
      <x:c r="C31" s="11"/>
      <x:c r="D31" s="11"/>
      <x:c r="E31" s="11"/>
      <x:c r="F31" s="11"/>
      <x:c r="G31" s="11"/>
      <x:c r="H31" s="12"/>
      <x:c r="I31" s="11"/>
      <x:c r="J31" s="11"/>
    </x:row>
    <x:row r="32" ht="22" customHeight="1">
      <x:c r="A32" s="11"/>
      <x:c r="B32" s="11"/>
      <x:c r="C32" s="11"/>
      <x:c r="D32" s="11"/>
      <x:c r="E32" s="11"/>
      <x:c r="F32" s="11"/>
      <x:c r="G32" s="11"/>
      <x:c r="H32" s="12"/>
      <x:c r="I32" s="11"/>
      <x:c r="J32" s="11"/>
    </x:row>
    <x:row r="33" ht="22" customHeight="1">
      <x:c r="A33" s="11"/>
      <x:c r="B33" s="11"/>
      <x:c r="C33" s="11"/>
      <x:c r="D33" s="11"/>
      <x:c r="E33" s="11"/>
      <x:c r="F33" s="11"/>
      <x:c r="G33" s="11"/>
      <x:c r="H33" s="12"/>
      <x:c r="I33" s="11"/>
      <x:c r="J33" s="11"/>
    </x:row>
    <x:row r="34" ht="22" customHeight="1">
      <x:c r="A34" s="11"/>
      <x:c r="B34" s="11"/>
      <x:c r="C34" s="11"/>
      <x:c r="D34" s="11"/>
      <x:c r="E34" s="11"/>
      <x:c r="F34" s="11"/>
      <x:c r="G34" s="11"/>
      <x:c r="H34" s="12"/>
      <x:c r="I34" s="11"/>
      <x:c r="J34" s="11"/>
    </x:row>
    <x:row r="35" ht="22" customHeight="1">
      <x:c r="A35" s="11"/>
      <x:c r="B35" s="11"/>
      <x:c r="C35" s="11"/>
      <x:c r="D35" s="11"/>
      <x:c r="E35" s="11"/>
      <x:c r="F35" s="11"/>
      <x:c r="G35" s="11"/>
      <x:c r="H35" s="12"/>
      <x:c r="I35" s="11"/>
      <x:c r="J35" s="11"/>
    </x:row>
    <x:row r="36" ht="22" customHeight="1">
      <x:c r="A36" s="11"/>
      <x:c r="B36" s="11"/>
      <x:c r="C36" s="11"/>
      <x:c r="D36" s="11"/>
      <x:c r="E36" s="11"/>
      <x:c r="F36" s="11"/>
      <x:c r="G36" s="11"/>
      <x:c r="H36" s="12"/>
      <x:c r="I36" s="11"/>
      <x:c r="J36" s="11"/>
    </x:row>
    <x:row r="37" ht="22" customHeight="1">
      <x:c r="A37" s="11"/>
      <x:c r="B37" s="11"/>
      <x:c r="C37" s="11"/>
      <x:c r="D37" s="11"/>
      <x:c r="E37" s="11"/>
      <x:c r="F37" s="11"/>
      <x:c r="G37" s="11"/>
      <x:c r="H37" s="12"/>
      <x:c r="I37" s="11"/>
      <x:c r="J37" s="11"/>
    </x:row>
    <x:row r="38" ht="22" customHeight="1">
      <x:c r="A38" s="11"/>
      <x:c r="B38" s="11"/>
      <x:c r="C38" s="11"/>
      <x:c r="D38" s="11"/>
      <x:c r="E38" s="11"/>
      <x:c r="F38" s="11"/>
      <x:c r="G38" s="11"/>
      <x:c r="H38" s="12"/>
      <x:c r="I38" s="11"/>
      <x:c r="J38" s="11"/>
    </x:row>
    <x:row r="39" ht="22" customHeight="1">
      <x:c r="A39" s="11"/>
      <x:c r="B39" s="11"/>
      <x:c r="C39" s="11"/>
      <x:c r="D39" s="11"/>
      <x:c r="E39" s="11"/>
      <x:c r="F39" s="11"/>
      <x:c r="G39" s="11"/>
      <x:c r="H39" s="12"/>
      <x:c r="I39" s="11"/>
      <x:c r="J39" s="11"/>
    </x:row>
    <x:row r="40" ht="22" customHeight="1">
      <x:c r="A40" s="11"/>
      <x:c r="B40" s="11"/>
      <x:c r="C40" s="11"/>
      <x:c r="D40" s="11"/>
      <x:c r="E40" s="11"/>
      <x:c r="F40" s="11"/>
      <x:c r="G40" s="11"/>
      <x:c r="H40" s="12"/>
      <x:c r="I40" s="11"/>
      <x:c r="J40" s="11"/>
    </x:row>
    <x:row r="41" ht="22" customHeight="1">
      <x:c r="A41" s="11"/>
      <x:c r="B41" s="11"/>
      <x:c r="C41" s="11"/>
      <x:c r="D41" s="11"/>
      <x:c r="E41" s="11"/>
      <x:c r="F41" s="11"/>
      <x:c r="G41" s="11"/>
      <x:c r="H41" s="12"/>
      <x:c r="I41" s="11"/>
      <x:c r="J41" s="1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5" hidden="0" customWidth="1"/>
    <x:col min="4" max="4" width="9" hidden="0" customWidth="1"/>
    <x:col min="5" max="5" width="10" hidden="0" customWidth="1"/>
    <x:col min="6" max="6" width="18" hidden="0" customWidth="1"/>
    <x:col min="7" max="7" width="9" hidden="0" customWidth="1"/>
    <x:col min="8" max="8" width="15" hidden="0" customWidth="1"/>
    <x:col min="9" max="9" width="16" hidden="0" customWidth="1"/>
    <x:col min="10" max="10" width="14" hidden="0" customWidth="1"/>
    <x:col min="11" max="11" width="12" hidden="0" customWidth="1"/>
    <x:col min="12" max="12" width="9" hidden="0" customWidth="1"/>
  </x:cols>
  <x:sheetData>
    <x:row r="1" ht="34" customHeight="1">
      <x:c r="A1" s="6" t="str">
        <x:v>施工日期</x:v>
      </x:c>
      <x:c r="B1" s="6" t="str">
        <x:v>主辦工程師</x:v>
      </x:c>
      <x:c r="C1" s="6" t="str">
        <x:v>工項</x:v>
      </x:c>
      <x:c r="D1" s="6" t="str">
        <x:v>樓層</x:v>
      </x:c>
      <x:c r="E1" s="6" t="str">
        <x:v>房號</x:v>
      </x:c>
      <x:c r="F1" s="6" t="str">
        <x:v>空間</x:v>
      </x:c>
      <x:c r="G1" s="6" t="str">
        <x:v>位置</x:v>
      </x:c>
      <x:c r="H1" s="6" t="str">
        <x:v>施作面積（m²）</x:v>
      </x:c>
      <x:c r="I1" s="6" t="str">
        <x:v>材料名稱</x:v>
      </x:c>
      <x:c r="J1" s="6" t="str">
        <x:v>材料分類</x:v>
      </x:c>
      <x:c r="K1" s="6" t="str">
        <x:v>材料用量</x:v>
      </x:c>
      <x:c r="L1" s="6" t="str">
        <x:v>單位</x:v>
      </x:c>
    </x:row>
    <x:row r="2" ht="22" customHeight="1">
      <x:c r="A2" s="11"/>
      <x:c r="B2" s="11"/>
      <x:c r="C2" s="11"/>
      <x:c r="D2" s="11"/>
      <x:c r="E2" s="11"/>
      <x:c r="F2" s="11"/>
      <x:c r="G2" s="11"/>
      <x:c r="H2" s="12"/>
      <x:c r="I2" s="11"/>
      <x:c r="J2" s="11"/>
      <x:c r="K2" s="12"/>
      <x:c r="L2" s="11"/>
    </x:row>
    <x:row r="3" ht="22" customHeight="1">
      <x:c r="A3" s="11"/>
      <x:c r="B3" s="11"/>
      <x:c r="C3" s="11"/>
      <x:c r="D3" s="11"/>
      <x:c r="E3" s="11"/>
      <x:c r="F3" s="11"/>
      <x:c r="G3" s="11"/>
      <x:c r="H3" s="12"/>
      <x:c r="I3" s="11"/>
      <x:c r="J3" s="11"/>
      <x:c r="K3" s="12"/>
      <x:c r="L3" s="11"/>
    </x:row>
    <x:row r="4" ht="22" customHeight="1">
      <x:c r="A4" s="11"/>
      <x:c r="B4" s="11"/>
      <x:c r="C4" s="11"/>
      <x:c r="D4" s="11"/>
      <x:c r="E4" s="11"/>
      <x:c r="F4" s="11"/>
      <x:c r="G4" s="11"/>
      <x:c r="H4" s="12"/>
      <x:c r="I4" s="11"/>
      <x:c r="J4" s="11"/>
      <x:c r="K4" s="12"/>
      <x:c r="L4" s="11"/>
    </x:row>
    <x:row r="5" ht="22" customHeight="1">
      <x:c r="A5" s="11"/>
      <x:c r="B5" s="11"/>
      <x:c r="C5" s="11"/>
      <x:c r="D5" s="11"/>
      <x:c r="E5" s="11"/>
      <x:c r="F5" s="11"/>
      <x:c r="G5" s="11"/>
      <x:c r="H5" s="12"/>
      <x:c r="I5" s="11"/>
      <x:c r="J5" s="11"/>
      <x:c r="K5" s="12"/>
      <x:c r="L5" s="11"/>
    </x:row>
    <x:row r="6" ht="22" customHeight="1">
      <x:c r="A6" s="11"/>
      <x:c r="B6" s="11"/>
      <x:c r="C6" s="11"/>
      <x:c r="D6" s="11"/>
      <x:c r="E6" s="11"/>
      <x:c r="F6" s="11"/>
      <x:c r="G6" s="11"/>
      <x:c r="H6" s="12"/>
      <x:c r="I6" s="11"/>
      <x:c r="J6" s="11"/>
      <x:c r="K6" s="12"/>
      <x:c r="L6" s="11"/>
    </x:row>
    <x:row r="7" ht="22" customHeight="1">
      <x:c r="A7" s="11"/>
      <x:c r="B7" s="11"/>
      <x:c r="C7" s="11"/>
      <x:c r="D7" s="11"/>
      <x:c r="E7" s="11"/>
      <x:c r="F7" s="11"/>
      <x:c r="G7" s="11"/>
      <x:c r="H7" s="12"/>
      <x:c r="I7" s="11"/>
      <x:c r="J7" s="11"/>
      <x:c r="K7" s="12"/>
      <x:c r="L7" s="11"/>
    </x:row>
    <x:row r="8" ht="22" customHeight="1">
      <x:c r="A8" s="11"/>
      <x:c r="B8" s="11"/>
      <x:c r="C8" s="11"/>
      <x:c r="D8" s="11"/>
      <x:c r="E8" s="11"/>
      <x:c r="F8" s="11"/>
      <x:c r="G8" s="11"/>
      <x:c r="H8" s="12"/>
      <x:c r="I8" s="11"/>
      <x:c r="J8" s="11"/>
      <x:c r="K8" s="12"/>
      <x:c r="L8" s="11"/>
    </x:row>
    <x:row r="9" ht="22" customHeight="1">
      <x:c r="A9" s="11"/>
      <x:c r="B9" s="11"/>
      <x:c r="C9" s="11"/>
      <x:c r="D9" s="11"/>
      <x:c r="E9" s="11"/>
      <x:c r="F9" s="11"/>
      <x:c r="G9" s="11"/>
      <x:c r="H9" s="12"/>
      <x:c r="I9" s="11"/>
      <x:c r="J9" s="11"/>
      <x:c r="K9" s="12"/>
      <x:c r="L9" s="11"/>
    </x:row>
    <x:row r="10" ht="22" customHeight="1">
      <x:c r="A10" s="11"/>
      <x:c r="B10" s="11"/>
      <x:c r="C10" s="11"/>
      <x:c r="D10" s="11"/>
      <x:c r="E10" s="11"/>
      <x:c r="F10" s="11"/>
      <x:c r="G10" s="11"/>
      <x:c r="H10" s="12"/>
      <x:c r="I10" s="11"/>
      <x:c r="J10" s="11"/>
      <x:c r="K10" s="12"/>
      <x:c r="L10" s="11"/>
    </x:row>
    <x:row r="11" ht="22" customHeight="1">
      <x:c r="A11" s="11"/>
      <x:c r="B11" s="11"/>
      <x:c r="C11" s="11"/>
      <x:c r="D11" s="11"/>
      <x:c r="E11" s="11"/>
      <x:c r="F11" s="11"/>
      <x:c r="G11" s="11"/>
      <x:c r="H11" s="12"/>
      <x:c r="I11" s="11"/>
      <x:c r="J11" s="11"/>
      <x:c r="K11" s="12"/>
      <x:c r="L11" s="11"/>
    </x:row>
    <x:row r="12" ht="22" customHeight="1">
      <x:c r="A12" s="11"/>
      <x:c r="B12" s="11"/>
      <x:c r="C12" s="11"/>
      <x:c r="D12" s="11"/>
      <x:c r="E12" s="11"/>
      <x:c r="F12" s="11"/>
      <x:c r="G12" s="11"/>
      <x:c r="H12" s="12"/>
      <x:c r="I12" s="11"/>
      <x:c r="J12" s="11"/>
      <x:c r="K12" s="12"/>
      <x:c r="L12" s="11"/>
    </x:row>
    <x:row r="13" ht="22" customHeight="1">
      <x:c r="A13" s="11"/>
      <x:c r="B13" s="11"/>
      <x:c r="C13" s="11"/>
      <x:c r="D13" s="11"/>
      <x:c r="E13" s="11"/>
      <x:c r="F13" s="11"/>
      <x:c r="G13" s="11"/>
      <x:c r="H13" s="12"/>
      <x:c r="I13" s="11"/>
      <x:c r="J13" s="11"/>
      <x:c r="K13" s="12"/>
      <x:c r="L13" s="11"/>
    </x:row>
    <x:row r="14" ht="22" customHeight="1">
      <x:c r="A14" s="11"/>
      <x:c r="B14" s="11"/>
      <x:c r="C14" s="11"/>
      <x:c r="D14" s="11"/>
      <x:c r="E14" s="11"/>
      <x:c r="F14" s="11"/>
      <x:c r="G14" s="11"/>
      <x:c r="H14" s="12"/>
      <x:c r="I14" s="11"/>
      <x:c r="J14" s="11"/>
      <x:c r="K14" s="12"/>
      <x:c r="L14" s="11"/>
    </x:row>
    <x:row r="15" ht="22" customHeight="1">
      <x:c r="A15" s="11"/>
      <x:c r="B15" s="11"/>
      <x:c r="C15" s="11"/>
      <x:c r="D15" s="11"/>
      <x:c r="E15" s="11"/>
      <x:c r="F15" s="11"/>
      <x:c r="G15" s="11"/>
      <x:c r="H15" s="12"/>
      <x:c r="I15" s="11"/>
      <x:c r="J15" s="11"/>
      <x:c r="K15" s="12"/>
      <x:c r="L15" s="11"/>
    </x:row>
    <x:row r="16" ht="22" customHeight="1">
      <x:c r="A16" s="11"/>
      <x:c r="B16" s="11"/>
      <x:c r="C16" s="11"/>
      <x:c r="D16" s="11"/>
      <x:c r="E16" s="11"/>
      <x:c r="F16" s="11"/>
      <x:c r="G16" s="11"/>
      <x:c r="H16" s="12"/>
      <x:c r="I16" s="11"/>
      <x:c r="J16" s="11"/>
      <x:c r="K16" s="12"/>
      <x:c r="L16" s="11"/>
    </x:row>
    <x:row r="17" ht="22" customHeight="1">
      <x:c r="A17" s="11"/>
      <x:c r="B17" s="11"/>
      <x:c r="C17" s="11"/>
      <x:c r="D17" s="11"/>
      <x:c r="E17" s="11"/>
      <x:c r="F17" s="11"/>
      <x:c r="G17" s="11"/>
      <x:c r="H17" s="12"/>
      <x:c r="I17" s="11"/>
      <x:c r="J17" s="11"/>
      <x:c r="K17" s="12"/>
      <x:c r="L17" s="11"/>
    </x:row>
    <x:row r="18" ht="22" customHeight="1">
      <x:c r="A18" s="11"/>
      <x:c r="B18" s="11"/>
      <x:c r="C18" s="11"/>
      <x:c r="D18" s="11"/>
      <x:c r="E18" s="11"/>
      <x:c r="F18" s="11"/>
      <x:c r="G18" s="11"/>
      <x:c r="H18" s="12"/>
      <x:c r="I18" s="11"/>
      <x:c r="J18" s="11"/>
      <x:c r="K18" s="12"/>
      <x:c r="L18" s="11"/>
    </x:row>
    <x:row r="19" ht="22" customHeight="1">
      <x:c r="A19" s="11"/>
      <x:c r="B19" s="11"/>
      <x:c r="C19" s="11"/>
      <x:c r="D19" s="11"/>
      <x:c r="E19" s="11"/>
      <x:c r="F19" s="11"/>
      <x:c r="G19" s="11"/>
      <x:c r="H19" s="12"/>
      <x:c r="I19" s="11"/>
      <x:c r="J19" s="11"/>
      <x:c r="K19" s="12"/>
      <x:c r="L19" s="11"/>
    </x:row>
    <x:row r="20" ht="22" customHeight="1">
      <x:c r="A20" s="11"/>
      <x:c r="B20" s="11"/>
      <x:c r="C20" s="11"/>
      <x:c r="D20" s="11"/>
      <x:c r="E20" s="11"/>
      <x:c r="F20" s="11"/>
      <x:c r="G20" s="11"/>
      <x:c r="H20" s="12"/>
      <x:c r="I20" s="11"/>
      <x:c r="J20" s="11"/>
      <x:c r="K20" s="12"/>
      <x:c r="L20" s="11"/>
    </x:row>
    <x:row r="21" ht="22" customHeight="1">
      <x:c r="A21" s="11"/>
      <x:c r="B21" s="11"/>
      <x:c r="C21" s="11"/>
      <x:c r="D21" s="11"/>
      <x:c r="E21" s="11"/>
      <x:c r="F21" s="11"/>
      <x:c r="G21" s="11"/>
      <x:c r="H21" s="12"/>
      <x:c r="I21" s="11"/>
      <x:c r="J21" s="11"/>
      <x:c r="K21" s="12"/>
      <x:c r="L21" s="11"/>
    </x:row>
    <x:row r="22" ht="22" customHeight="1">
      <x:c r="A22" s="11"/>
      <x:c r="B22" s="11"/>
      <x:c r="C22" s="11"/>
      <x:c r="D22" s="11"/>
      <x:c r="E22" s="11"/>
      <x:c r="F22" s="11"/>
      <x:c r="G22" s="11"/>
      <x:c r="H22" s="12"/>
      <x:c r="I22" s="11"/>
      <x:c r="J22" s="11"/>
      <x:c r="K22" s="12"/>
      <x:c r="L22" s="11"/>
    </x:row>
    <x:row r="23" ht="22" customHeight="1">
      <x:c r="A23" s="11"/>
      <x:c r="B23" s="11"/>
      <x:c r="C23" s="11"/>
      <x:c r="D23" s="11"/>
      <x:c r="E23" s="11"/>
      <x:c r="F23" s="11"/>
      <x:c r="G23" s="11"/>
      <x:c r="H23" s="12"/>
      <x:c r="I23" s="11"/>
      <x:c r="J23" s="11"/>
      <x:c r="K23" s="12"/>
      <x:c r="L23" s="11"/>
    </x:row>
    <x:row r="24" ht="22" customHeight="1">
      <x:c r="A24" s="11"/>
      <x:c r="B24" s="11"/>
      <x:c r="C24" s="11"/>
      <x:c r="D24" s="11"/>
      <x:c r="E24" s="11"/>
      <x:c r="F24" s="11"/>
      <x:c r="G24" s="11"/>
      <x:c r="H24" s="12"/>
      <x:c r="I24" s="11"/>
      <x:c r="J24" s="11"/>
      <x:c r="K24" s="12"/>
      <x:c r="L24" s="11"/>
    </x:row>
    <x:row r="25" ht="22" customHeight="1">
      <x:c r="A25" s="11"/>
      <x:c r="B25" s="11"/>
      <x:c r="C25" s="11"/>
      <x:c r="D25" s="11"/>
      <x:c r="E25" s="11"/>
      <x:c r="F25" s="11"/>
      <x:c r="G25" s="11"/>
      <x:c r="H25" s="12"/>
      <x:c r="I25" s="11"/>
      <x:c r="J25" s="11"/>
      <x:c r="K25" s="12"/>
      <x:c r="L25" s="11"/>
    </x:row>
    <x:row r="26" ht="22" customHeight="1">
      <x:c r="A26" s="11"/>
      <x:c r="B26" s="11"/>
      <x:c r="C26" s="11"/>
      <x:c r="D26" s="11"/>
      <x:c r="E26" s="11"/>
      <x:c r="F26" s="11"/>
      <x:c r="G26" s="11"/>
      <x:c r="H26" s="12"/>
      <x:c r="I26" s="11"/>
      <x:c r="J26" s="11"/>
      <x:c r="K26" s="12"/>
      <x:c r="L26" s="11"/>
    </x:row>
    <x:row r="27" ht="22" customHeight="1">
      <x:c r="A27" s="11"/>
      <x:c r="B27" s="11"/>
      <x:c r="C27" s="11"/>
      <x:c r="D27" s="11"/>
      <x:c r="E27" s="11"/>
      <x:c r="F27" s="11"/>
      <x:c r="G27" s="11"/>
      <x:c r="H27" s="12"/>
      <x:c r="I27" s="11"/>
      <x:c r="J27" s="11"/>
      <x:c r="K27" s="12"/>
      <x:c r="L27" s="11"/>
    </x:row>
    <x:row r="28" ht="22" customHeight="1">
      <x:c r="A28" s="11"/>
      <x:c r="B28" s="11"/>
      <x:c r="C28" s="11"/>
      <x:c r="D28" s="11"/>
      <x:c r="E28" s="11"/>
      <x:c r="F28" s="11"/>
      <x:c r="G28" s="11"/>
      <x:c r="H28" s="12"/>
      <x:c r="I28" s="11"/>
      <x:c r="J28" s="11"/>
      <x:c r="K28" s="12"/>
      <x:c r="L28" s="11"/>
    </x:row>
    <x:row r="29" ht="22" customHeight="1">
      <x:c r="A29" s="11"/>
      <x:c r="B29" s="11"/>
      <x:c r="C29" s="11"/>
      <x:c r="D29" s="11"/>
      <x:c r="E29" s="11"/>
      <x:c r="F29" s="11"/>
      <x:c r="G29" s="11"/>
      <x:c r="H29" s="12"/>
      <x:c r="I29" s="11"/>
      <x:c r="J29" s="11"/>
      <x:c r="K29" s="12"/>
      <x:c r="L29" s="11"/>
    </x:row>
    <x:row r="30" ht="22" customHeight="1">
      <x:c r="A30" s="11"/>
      <x:c r="B30" s="11"/>
      <x:c r="C30" s="11"/>
      <x:c r="D30" s="11"/>
      <x:c r="E30" s="11"/>
      <x:c r="F30" s="11"/>
      <x:c r="G30" s="11"/>
      <x:c r="H30" s="12"/>
      <x:c r="I30" s="11"/>
      <x:c r="J30" s="11"/>
      <x:c r="K30" s="12"/>
      <x:c r="L30" s="11"/>
    </x:row>
    <x:row r="31" ht="22" customHeight="1">
      <x:c r="A31" s="11"/>
      <x:c r="B31" s="11"/>
      <x:c r="C31" s="11"/>
      <x:c r="D31" s="11"/>
      <x:c r="E31" s="11"/>
      <x:c r="F31" s="11"/>
      <x:c r="G31" s="11"/>
      <x:c r="H31" s="12"/>
      <x:c r="I31" s="11"/>
      <x:c r="J31" s="11"/>
      <x:c r="K31" s="12"/>
      <x:c r="L31" s="11"/>
    </x:row>
    <x:row r="32" ht="22" customHeight="1">
      <x:c r="A32" s="11"/>
      <x:c r="B32" s="11"/>
      <x:c r="C32" s="11"/>
      <x:c r="D32" s="11"/>
      <x:c r="E32" s="11"/>
      <x:c r="F32" s="11"/>
      <x:c r="G32" s="11"/>
      <x:c r="H32" s="12"/>
      <x:c r="I32" s="11"/>
      <x:c r="J32" s="11"/>
      <x:c r="K32" s="12"/>
      <x:c r="L32" s="11"/>
    </x:row>
    <x:row r="33" ht="22" customHeight="1">
      <x:c r="A33" s="11"/>
      <x:c r="B33" s="11"/>
      <x:c r="C33" s="11"/>
      <x:c r="D33" s="11"/>
      <x:c r="E33" s="11"/>
      <x:c r="F33" s="11"/>
      <x:c r="G33" s="11"/>
      <x:c r="H33" s="12"/>
      <x:c r="I33" s="11"/>
      <x:c r="J33" s="11"/>
      <x:c r="K33" s="12"/>
      <x:c r="L33" s="11"/>
    </x:row>
    <x:row r="34" ht="22" customHeight="1">
      <x:c r="A34" s="11"/>
      <x:c r="B34" s="11"/>
      <x:c r="C34" s="11"/>
      <x:c r="D34" s="11"/>
      <x:c r="E34" s="11"/>
      <x:c r="F34" s="11"/>
      <x:c r="G34" s="11"/>
      <x:c r="H34" s="12"/>
      <x:c r="I34" s="11"/>
      <x:c r="J34" s="11"/>
      <x:c r="K34" s="12"/>
      <x:c r="L34" s="11"/>
    </x:row>
    <x:row r="35" ht="22" customHeight="1">
      <x:c r="A35" s="11"/>
      <x:c r="B35" s="11"/>
      <x:c r="C35" s="11"/>
      <x:c r="D35" s="11"/>
      <x:c r="E35" s="11"/>
      <x:c r="F35" s="11"/>
      <x:c r="G35" s="11"/>
      <x:c r="H35" s="12"/>
      <x:c r="I35" s="11"/>
      <x:c r="J35" s="11"/>
      <x:c r="K35" s="12"/>
      <x:c r="L35" s="11"/>
    </x:row>
    <x:row r="36" ht="22" customHeight="1">
      <x:c r="A36" s="11"/>
      <x:c r="B36" s="11"/>
      <x:c r="C36" s="11"/>
      <x:c r="D36" s="11"/>
      <x:c r="E36" s="11"/>
      <x:c r="F36" s="11"/>
      <x:c r="G36" s="11"/>
      <x:c r="H36" s="12"/>
      <x:c r="I36" s="11"/>
      <x:c r="J36" s="11"/>
      <x:c r="K36" s="12"/>
      <x:c r="L36" s="11"/>
    </x:row>
    <x:row r="37" ht="22" customHeight="1">
      <x:c r="A37" s="11"/>
      <x:c r="B37" s="11"/>
      <x:c r="C37" s="11"/>
      <x:c r="D37" s="11"/>
      <x:c r="E37" s="11"/>
      <x:c r="F37" s="11"/>
      <x:c r="G37" s="11"/>
      <x:c r="H37" s="12"/>
      <x:c r="I37" s="11"/>
      <x:c r="J37" s="11"/>
      <x:c r="K37" s="12"/>
      <x:c r="L37" s="11"/>
    </x:row>
    <x:row r="38" ht="22" customHeight="1">
      <x:c r="A38" s="11"/>
      <x:c r="B38" s="11"/>
      <x:c r="C38" s="11"/>
      <x:c r="D38" s="11"/>
      <x:c r="E38" s="11"/>
      <x:c r="F38" s="11"/>
      <x:c r="G38" s="11"/>
      <x:c r="H38" s="12"/>
      <x:c r="I38" s="11"/>
      <x:c r="J38" s="11"/>
      <x:c r="K38" s="12"/>
      <x:c r="L38" s="11"/>
    </x:row>
    <x:row r="39" ht="22" customHeight="1">
      <x:c r="A39" s="11"/>
      <x:c r="B39" s="11"/>
      <x:c r="C39" s="11"/>
      <x:c r="D39" s="11"/>
      <x:c r="E39" s="11"/>
      <x:c r="F39" s="11"/>
      <x:c r="G39" s="11"/>
      <x:c r="H39" s="12"/>
      <x:c r="I39" s="11"/>
      <x:c r="J39" s="11"/>
      <x:c r="K39" s="12"/>
      <x:c r="L39" s="11"/>
    </x:row>
    <x:row r="40" ht="22" customHeight="1">
      <x:c r="A40" s="11"/>
      <x:c r="B40" s="11"/>
      <x:c r="C40" s="11"/>
      <x:c r="D40" s="11"/>
      <x:c r="E40" s="11"/>
      <x:c r="F40" s="11"/>
      <x:c r="G40" s="11"/>
      <x:c r="H40" s="12"/>
      <x:c r="I40" s="11"/>
      <x:c r="J40" s="11"/>
      <x:c r="K40" s="12"/>
      <x:c r="L40" s="11"/>
    </x:row>
    <x:row r="41" ht="22" customHeight="1">
      <x:c r="A41" s="11"/>
      <x:c r="B41" s="11"/>
      <x:c r="C41" s="11"/>
      <x:c r="D41" s="11"/>
      <x:c r="E41" s="11"/>
      <x:c r="F41" s="11"/>
      <x:c r="G41" s="11"/>
      <x:c r="H41" s="12"/>
      <x:c r="I41" s="11"/>
      <x:c r="J41" s="11"/>
      <x:c r="K41" s="12"/>
      <x:c r="L41" s="1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5" hidden="0" customWidth="1"/>
    <x:col min="3" max="3" width="18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</x:cols>
  <x:sheetData>
    <x:row r="1" ht="34" customHeight="1">
      <x:c r="A1" s="6" t="str">
        <x:v>施工日期</x:v>
      </x:c>
      <x:c r="B1" s="6" t="str">
        <x:v>工項</x:v>
      </x:c>
      <x:c r="C1" s="6" t="str">
        <x:v>施作總面積（m²）</x:v>
      </x:c>
      <x:c r="D1" s="6" t="str">
        <x:v>出工總人數（工）</x:v>
      </x:c>
      <x:c r="E1" s="6" t="str">
        <x:v>TF830（包）</x:v>
      </x:c>
      <x:c r="F1" s="6" t="str">
        <x:v>水泥（包）</x:v>
      </x:c>
      <x:c r="G1" s="6" t="str">
        <x:v>砂（m³）</x:v>
      </x:c>
    </x:row>
    <x:row r="2" ht="22" customHeight="1">
      <x:c r="A2" s="11"/>
      <x:c r="B2" s="11"/>
      <x:c r="C2" s="12"/>
      <x:c r="D2" s="12"/>
      <x:c r="E2" s="12"/>
      <x:c r="F2" s="12"/>
      <x:c r="G2" s="12"/>
    </x:row>
    <x:row r="3" ht="22" customHeight="1">
      <x:c r="A3" s="11"/>
      <x:c r="B3" s="11"/>
      <x:c r="C3" s="12"/>
      <x:c r="D3" s="12"/>
      <x:c r="E3" s="12"/>
      <x:c r="F3" s="12"/>
      <x:c r="G3" s="12"/>
    </x:row>
    <x:row r="4" ht="22" customHeight="1">
      <x:c r="A4" s="11"/>
      <x:c r="B4" s="11"/>
      <x:c r="C4" s="12"/>
      <x:c r="D4" s="12"/>
      <x:c r="E4" s="12"/>
      <x:c r="F4" s="12"/>
      <x:c r="G4" s="12"/>
    </x:row>
    <x:row r="5" ht="22" customHeight="1">
      <x:c r="A5" s="11"/>
      <x:c r="B5" s="11"/>
      <x:c r="C5" s="12"/>
      <x:c r="D5" s="12"/>
      <x:c r="E5" s="12"/>
      <x:c r="F5" s="12"/>
      <x:c r="G5" s="12"/>
    </x:row>
    <x:row r="6" ht="22" customHeight="1">
      <x:c r="A6" s="11"/>
      <x:c r="B6" s="11"/>
      <x:c r="C6" s="12"/>
      <x:c r="D6" s="12"/>
      <x:c r="E6" s="12"/>
      <x:c r="F6" s="12"/>
      <x:c r="G6" s="12"/>
    </x:row>
    <x:row r="7" ht="22" customHeight="1">
      <x:c r="A7" s="11"/>
      <x:c r="B7" s="11"/>
      <x:c r="C7" s="12"/>
      <x:c r="D7" s="12"/>
      <x:c r="E7" s="12"/>
      <x:c r="F7" s="12"/>
      <x:c r="G7" s="12"/>
    </x:row>
    <x:row r="8" ht="22" customHeight="1">
      <x:c r="A8" s="11"/>
      <x:c r="B8" s="11"/>
      <x:c r="C8" s="12"/>
      <x:c r="D8" s="12"/>
      <x:c r="E8" s="12"/>
      <x:c r="F8" s="12"/>
      <x:c r="G8" s="12"/>
    </x:row>
    <x:row r="9" ht="22" customHeight="1">
      <x:c r="A9" s="11"/>
      <x:c r="B9" s="11"/>
      <x:c r="C9" s="12"/>
      <x:c r="D9" s="12"/>
      <x:c r="E9" s="12"/>
      <x:c r="F9" s="12"/>
      <x:c r="G9" s="12"/>
    </x:row>
    <x:row r="10" ht="22" customHeight="1">
      <x:c r="A10" s="11"/>
      <x:c r="B10" s="11"/>
      <x:c r="C10" s="12"/>
      <x:c r="D10" s="12"/>
      <x:c r="E10" s="12"/>
      <x:c r="F10" s="12"/>
      <x:c r="G10" s="12"/>
    </x:row>
    <x:row r="11" ht="22" customHeight="1">
      <x:c r="A11" s="11"/>
      <x:c r="B11" s="11"/>
      <x:c r="C11" s="12"/>
      <x:c r="D11" s="12"/>
      <x:c r="E11" s="12"/>
      <x:c r="F11" s="12"/>
      <x:c r="G11" s="12"/>
    </x:row>
    <x:row r="12" ht="22" customHeight="1">
      <x:c r="A12" s="11"/>
      <x:c r="B12" s="11"/>
      <x:c r="C12" s="12"/>
      <x:c r="D12" s="12"/>
      <x:c r="E12" s="12"/>
      <x:c r="F12" s="12"/>
      <x:c r="G12" s="12"/>
    </x:row>
    <x:row r="13" ht="22" customHeight="1">
      <x:c r="A13" s="11"/>
      <x:c r="B13" s="11"/>
      <x:c r="C13" s="12"/>
      <x:c r="D13" s="12"/>
      <x:c r="E13" s="12"/>
      <x:c r="F13" s="12"/>
      <x:c r="G13" s="12"/>
    </x:row>
    <x:row r="14" ht="22" customHeight="1">
      <x:c r="A14" s="11"/>
      <x:c r="B14" s="11"/>
      <x:c r="C14" s="12"/>
      <x:c r="D14" s="12"/>
      <x:c r="E14" s="12"/>
      <x:c r="F14" s="12"/>
      <x:c r="G14" s="12"/>
    </x:row>
    <x:row r="15" ht="22" customHeight="1">
      <x:c r="A15" s="11"/>
      <x:c r="B15" s="11"/>
      <x:c r="C15" s="12"/>
      <x:c r="D15" s="12"/>
      <x:c r="E15" s="12"/>
      <x:c r="F15" s="12"/>
      <x:c r="G15" s="12"/>
    </x:row>
    <x:row r="16" ht="22" customHeight="1">
      <x:c r="A16" s="11"/>
      <x:c r="B16" s="11"/>
      <x:c r="C16" s="12"/>
      <x:c r="D16" s="12"/>
      <x:c r="E16" s="12"/>
      <x:c r="F16" s="12"/>
      <x:c r="G16" s="12"/>
    </x:row>
    <x:row r="17" ht="22" customHeight="1">
      <x:c r="A17" s="11"/>
      <x:c r="B17" s="11"/>
      <x:c r="C17" s="12"/>
      <x:c r="D17" s="12"/>
      <x:c r="E17" s="12"/>
      <x:c r="F17" s="12"/>
      <x:c r="G17" s="12"/>
    </x:row>
    <x:row r="18" ht="22" customHeight="1">
      <x:c r="A18" s="11"/>
      <x:c r="B18" s="11"/>
      <x:c r="C18" s="12"/>
      <x:c r="D18" s="12"/>
      <x:c r="E18" s="12"/>
      <x:c r="F18" s="12"/>
      <x:c r="G18" s="12"/>
    </x:row>
    <x:row r="19" ht="22" customHeight="1">
      <x:c r="A19" s="11"/>
      <x:c r="B19" s="11"/>
      <x:c r="C19" s="12"/>
      <x:c r="D19" s="12"/>
      <x:c r="E19" s="12"/>
      <x:c r="F19" s="12"/>
      <x:c r="G19" s="12"/>
    </x:row>
    <x:row r="20" ht="22" customHeight="1">
      <x:c r="A20" s="11"/>
      <x:c r="B20" s="11"/>
      <x:c r="C20" s="12"/>
      <x:c r="D20" s="12"/>
      <x:c r="E20" s="12"/>
      <x:c r="F20" s="12"/>
      <x:c r="G20" s="12"/>
    </x:row>
    <x:row r="21" ht="22" customHeight="1">
      <x:c r="A21" s="11"/>
      <x:c r="B21" s="11"/>
      <x:c r="C21" s="12"/>
      <x:c r="D21" s="12"/>
      <x:c r="E21" s="12"/>
      <x:c r="F21" s="12"/>
      <x:c r="G21" s="12"/>
    </x:row>
    <x:row r="22" ht="22" customHeight="1">
      <x:c r="A22" s="11"/>
      <x:c r="B22" s="11"/>
      <x:c r="C22" s="12"/>
      <x:c r="D22" s="12"/>
      <x:c r="E22" s="12"/>
      <x:c r="F22" s="12"/>
      <x:c r="G22" s="12"/>
    </x:row>
    <x:row r="23" ht="22" customHeight="1">
      <x:c r="A23" s="11"/>
      <x:c r="B23" s="11"/>
      <x:c r="C23" s="12"/>
      <x:c r="D23" s="12"/>
      <x:c r="E23" s="12"/>
      <x:c r="F23" s="12"/>
      <x:c r="G23" s="12"/>
    </x:row>
    <x:row r="24" ht="22" customHeight="1">
      <x:c r="A24" s="11"/>
      <x:c r="B24" s="11"/>
      <x:c r="C24" s="12"/>
      <x:c r="D24" s="12"/>
      <x:c r="E24" s="12"/>
      <x:c r="F24" s="12"/>
      <x:c r="G24" s="12"/>
    </x:row>
    <x:row r="25" ht="22" customHeight="1">
      <x:c r="A25" s="11"/>
      <x:c r="B25" s="11"/>
      <x:c r="C25" s="12"/>
      <x:c r="D25" s="12"/>
      <x:c r="E25" s="12"/>
      <x:c r="F25" s="12"/>
      <x:c r="G25" s="12"/>
    </x:row>
    <x:row r="26" ht="22" customHeight="1">
      <x:c r="A26" s="11"/>
      <x:c r="B26" s="11"/>
      <x:c r="C26" s="12"/>
      <x:c r="D26" s="12"/>
      <x:c r="E26" s="12"/>
      <x:c r="F26" s="12"/>
      <x:c r="G26" s="12"/>
    </x:row>
    <x:row r="27" ht="22" customHeight="1">
      <x:c r="A27" s="11"/>
      <x:c r="B27" s="11"/>
      <x:c r="C27" s="12"/>
      <x:c r="D27" s="12"/>
      <x:c r="E27" s="12"/>
      <x:c r="F27" s="12"/>
      <x:c r="G27" s="12"/>
    </x:row>
    <x:row r="28" ht="22" customHeight="1">
      <x:c r="A28" s="11"/>
      <x:c r="B28" s="11"/>
      <x:c r="C28" s="12"/>
      <x:c r="D28" s="12"/>
      <x:c r="E28" s="12"/>
      <x:c r="F28" s="12"/>
      <x:c r="G28" s="12"/>
    </x:row>
    <x:row r="29" ht="22" customHeight="1">
      <x:c r="A29" s="11"/>
      <x:c r="B29" s="11"/>
      <x:c r="C29" s="12"/>
      <x:c r="D29" s="12"/>
      <x:c r="E29" s="12"/>
      <x:c r="F29" s="12"/>
      <x:c r="G29" s="12"/>
    </x:row>
    <x:row r="30" ht="22" customHeight="1">
      <x:c r="A30" s="11"/>
      <x:c r="B30" s="11"/>
      <x:c r="C30" s="12"/>
      <x:c r="D30" s="12"/>
      <x:c r="E30" s="12"/>
      <x:c r="F30" s="12"/>
      <x:c r="G30" s="12"/>
    </x:row>
    <x:row r="31" ht="22" customHeight="1">
      <x:c r="A31" s="11"/>
      <x:c r="B31" s="11"/>
      <x:c r="C31" s="12"/>
      <x:c r="D31" s="12"/>
      <x:c r="E31" s="12"/>
      <x:c r="F31" s="12"/>
      <x:c r="G31" s="12"/>
    </x:row>
    <x:row r="32" ht="22" customHeight="1">
      <x:c r="A32" s="11"/>
      <x:c r="B32" s="11"/>
      <x:c r="C32" s="12"/>
      <x:c r="D32" s="12"/>
      <x:c r="E32" s="12"/>
      <x:c r="F32" s="12"/>
      <x:c r="G32" s="12"/>
    </x:row>
    <x:row r="33" ht="22" customHeight="1">
      <x:c r="A33" s="11"/>
      <x:c r="B33" s="11"/>
      <x:c r="C33" s="12"/>
      <x:c r="D33" s="12"/>
      <x:c r="E33" s="12"/>
      <x:c r="F33" s="12"/>
      <x:c r="G33" s="12"/>
    </x:row>
    <x:row r="34" ht="22" customHeight="1">
      <x:c r="A34" s="11"/>
      <x:c r="B34" s="11"/>
      <x:c r="C34" s="12"/>
      <x:c r="D34" s="12"/>
      <x:c r="E34" s="12"/>
      <x:c r="F34" s="12"/>
      <x:c r="G34" s="12"/>
    </x:row>
    <x:row r="35" ht="22" customHeight="1">
      <x:c r="A35" s="11"/>
      <x:c r="B35" s="11"/>
      <x:c r="C35" s="12"/>
      <x:c r="D35" s="12"/>
      <x:c r="E35" s="12"/>
      <x:c r="F35" s="12"/>
      <x:c r="G35" s="12"/>
    </x:row>
    <x:row r="36" ht="22" customHeight="1">
      <x:c r="A36" s="11"/>
      <x:c r="B36" s="11"/>
      <x:c r="C36" s="12"/>
      <x:c r="D36" s="12"/>
      <x:c r="E36" s="12"/>
      <x:c r="F36" s="12"/>
      <x:c r="G36" s="12"/>
    </x:row>
    <x:row r="37" ht="22" customHeight="1">
      <x:c r="A37" s="11"/>
      <x:c r="B37" s="11"/>
      <x:c r="C37" s="12"/>
      <x:c r="D37" s="12"/>
      <x:c r="E37" s="12"/>
      <x:c r="F37" s="12"/>
      <x:c r="G37" s="12"/>
    </x:row>
    <x:row r="38" ht="22" customHeight="1">
      <x:c r="A38" s="11"/>
      <x:c r="B38" s="11"/>
      <x:c r="C38" s="12"/>
      <x:c r="D38" s="12"/>
      <x:c r="E38" s="12"/>
      <x:c r="F38" s="12"/>
      <x:c r="G38" s="12"/>
    </x:row>
    <x:row r="39" ht="22" customHeight="1">
      <x:c r="A39" s="11"/>
      <x:c r="B39" s="11"/>
      <x:c r="C39" s="12"/>
      <x:c r="D39" s="12"/>
      <x:c r="E39" s="12"/>
      <x:c r="F39" s="12"/>
      <x:c r="G39" s="12"/>
    </x:row>
    <x:row r="40" ht="22" customHeight="1">
      <x:c r="A40" s="11"/>
      <x:c r="B40" s="11"/>
      <x:c r="C40" s="12"/>
      <x:c r="D40" s="12"/>
      <x:c r="E40" s="12"/>
      <x:c r="F40" s="12"/>
      <x:c r="G40" s="12"/>
    </x:row>
    <x:row r="41" ht="22" customHeight="1">
      <x:c r="A41" s="11"/>
      <x:c r="B41" s="11"/>
      <x:c r="C41" s="12"/>
      <x:c r="D41" s="12"/>
      <x:c r="E41" s="12"/>
      <x:c r="F41" s="12"/>
      <x:c r="G41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17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4" customHeight="1">
      <x:c r="A1" s="6" t="str">
        <x:v>施工日期</x:v>
      </x:c>
      <x:c r="B1" s="6" t="str">
        <x:v>施作總面積（m²）</x:v>
      </x:c>
      <x:c r="C1" s="6" t="str">
        <x:v>工率（m²／工）</x:v>
      </x:c>
      <x:c r="D1" s="6" t="str">
        <x:v>TF830（m²／包）</x:v>
      </x:c>
      <x:c r="E1" s="6" t="str">
        <x:v>水泥（m²／包）</x:v>
      </x:c>
      <x:c r="F1" s="6" t="str">
        <x:v>砂（m²／m³）</x:v>
      </x:c>
    </x:row>
    <x:row r="2" ht="22" customHeight="1">
      <x:c r="A2" s="11" t="str">
        <x:f>IF('統計總表'!A2="","",'統計總表'!A2)</x:f>
      </x:c>
      <x:c r="B2" s="13" t="str">
        <x:f>IF(A2="","",SUMIF('統計總表'!$A$2:$A$41,A2,'統計總表'!$C$2:$C$41))</x:f>
      </x:c>
      <x:c r="C2" s="13" t="str">
        <x:f>IF(SUMIF('統計總表'!$A$2:$A$41,A2,'統計總表'!$D$2:$D$41)=0,"",ROUND(B2/SUMIF('統計總表'!$A$2:$A$41,A2,'統計總表'!$D$2:$D$41),0))</x:f>
      </x:c>
      <x:c r="D2" s="13" t="str">
        <x:f>IF(SUMIF('統計總表'!$A$2:$A$41,A2,'統計總表'!$E$2:$E$41)=0,"",ROUND(B2/SUMIF('統計總表'!$A$2:$A$41,A2,'統計總表'!$E$2:$E$41),0))</x:f>
      </x:c>
      <x:c r="E2" s="13" t="str">
        <x:f>IF(SUMIF('統計總表'!$A$2:$A$41,A2,'統計總表'!$F$2:$F$41)=0,"",ROUND(B2/SUMIF('統計總表'!$A$2:$A$41,A2,'統計總表'!$F$2:$F$41),0))</x:f>
      </x:c>
      <x:c r="F2" s="13" t="str">
        <x:f>IF(SUMIF('統計總表'!$A$2:$A$41,A2,'統計總表'!$G$2:$G$41)=0,"",ROUND(B2/SUMIF('統計總表'!$A$2:$A$41,A2,'統計總表'!$G$2:$G$41),0))</x:f>
      </x:c>
    </x:row>
    <x:row r="3" ht="22" customHeight="1">
      <x:c r="A3" s="11" t="str">
        <x:f>IF('統計總表'!A3="","",'統計總表'!A3)</x:f>
      </x:c>
      <x:c r="B3" s="13" t="str">
        <x:f>IF(A3="","",SUMIF('統計總表'!$A$2:$A$41,A3,'統計總表'!$C$2:$C$41))</x:f>
      </x:c>
      <x:c r="C3" s="13" t="str">
        <x:f>IF(SUMIF('統計總表'!$A$2:$A$41,A3,'統計總表'!$D$2:$D$41)=0,"",ROUND(B3/SUMIF('統計總表'!$A$2:$A$41,A3,'統計總表'!$D$2:$D$41),0))</x:f>
      </x:c>
      <x:c r="D3" s="13" t="str">
        <x:f>IF(SUMIF('統計總表'!$A$2:$A$41,A3,'統計總表'!$E$2:$E$41)=0,"",ROUND(B3/SUMIF('統計總表'!$A$2:$A$41,A3,'統計總表'!$E$2:$E$41),0))</x:f>
      </x:c>
      <x:c r="E3" s="13" t="str">
        <x:f>IF(SUMIF('統計總表'!$A$2:$A$41,A3,'統計總表'!$F$2:$F$41)=0,"",ROUND(B3/SUMIF('統計總表'!$A$2:$A$41,A3,'統計總表'!$F$2:$F$41),0))</x:f>
      </x:c>
      <x:c r="F3" s="13" t="str">
        <x:f>IF(SUMIF('統計總表'!$A$2:$A$41,A3,'統計總表'!$G$2:$G$41)=0,"",ROUND(B3/SUMIF('統計總表'!$A$2:$A$41,A3,'統計總表'!$G$2:$G$41),0))</x:f>
      </x:c>
    </x:row>
    <x:row r="4" ht="22" customHeight="1">
      <x:c r="A4" s="11" t="str">
        <x:f>IF('統計總表'!A4="","",'統計總表'!A4)</x:f>
      </x:c>
      <x:c r="B4" s="13" t="str">
        <x:f>IF(A4="","",SUMIF('統計總表'!$A$2:$A$41,A4,'統計總表'!$C$2:$C$41))</x:f>
      </x:c>
      <x:c r="C4" s="13" t="str">
        <x:f>IF(SUMIF('統計總表'!$A$2:$A$41,A4,'統計總表'!$D$2:$D$41)=0,"",ROUND(B4/SUMIF('統計總表'!$A$2:$A$41,A4,'統計總表'!$D$2:$D$41),0))</x:f>
      </x:c>
      <x:c r="D4" s="13" t="str">
        <x:f>IF(SUMIF('統計總表'!$A$2:$A$41,A4,'統計總表'!$E$2:$E$41)=0,"",ROUND(B4/SUMIF('統計總表'!$A$2:$A$41,A4,'統計總表'!$E$2:$E$41),0))</x:f>
      </x:c>
      <x:c r="E4" s="13" t="str">
        <x:f>IF(SUMIF('統計總表'!$A$2:$A$41,A4,'統計總表'!$F$2:$F$41)=0,"",ROUND(B4/SUMIF('統計總表'!$A$2:$A$41,A4,'統計總表'!$F$2:$F$41),0))</x:f>
      </x:c>
      <x:c r="F4" s="13" t="str">
        <x:f>IF(SUMIF('統計總表'!$A$2:$A$41,A4,'統計總表'!$G$2:$G$41)=0,"",ROUND(B4/SUMIF('統計總表'!$A$2:$A$41,A4,'統計總表'!$G$2:$G$41),0))</x:f>
      </x:c>
    </x:row>
    <x:row r="5" ht="22" customHeight="1">
      <x:c r="A5" s="11" t="str">
        <x:f>IF('統計總表'!A5="","",'統計總表'!A5)</x:f>
      </x:c>
      <x:c r="B5" s="13" t="str">
        <x:f>IF(A5="","",SUMIF('統計總表'!$A$2:$A$41,A5,'統計總表'!$C$2:$C$41))</x:f>
      </x:c>
      <x:c r="C5" s="13" t="str">
        <x:f>IF(SUMIF('統計總表'!$A$2:$A$41,A5,'統計總表'!$D$2:$D$41)=0,"",ROUND(B5/SUMIF('統計總表'!$A$2:$A$41,A5,'統計總表'!$D$2:$D$41),0))</x:f>
      </x:c>
      <x:c r="D5" s="13" t="str">
        <x:f>IF(SUMIF('統計總表'!$A$2:$A$41,A5,'統計總表'!$E$2:$E$41)=0,"",ROUND(B5/SUMIF('統計總表'!$A$2:$A$41,A5,'統計總表'!$E$2:$E$41),0))</x:f>
      </x:c>
      <x:c r="E5" s="13" t="str">
        <x:f>IF(SUMIF('統計總表'!$A$2:$A$41,A5,'統計總表'!$F$2:$F$41)=0,"",ROUND(B5/SUMIF('統計總表'!$A$2:$A$41,A5,'統計總表'!$F$2:$F$41),0))</x:f>
      </x:c>
      <x:c r="F5" s="13" t="str">
        <x:f>IF(SUMIF('統計總表'!$A$2:$A$41,A5,'統計總表'!$G$2:$G$41)=0,"",ROUND(B5/SUMIF('統計總表'!$A$2:$A$41,A5,'統計總表'!$G$2:$G$41),0))</x:f>
      </x:c>
    </x:row>
    <x:row r="6" ht="22" customHeight="1">
      <x:c r="A6" s="11" t="str">
        <x:f>IF('統計總表'!A6="","",'統計總表'!A6)</x:f>
      </x:c>
      <x:c r="B6" s="13" t="str">
        <x:f>IF(A6="","",SUMIF('統計總表'!$A$2:$A$41,A6,'統計總表'!$C$2:$C$41))</x:f>
      </x:c>
      <x:c r="C6" s="13" t="str">
        <x:f>IF(SUMIF('統計總表'!$A$2:$A$41,A6,'統計總表'!$D$2:$D$41)=0,"",ROUND(B6/SUMIF('統計總表'!$A$2:$A$41,A6,'統計總表'!$D$2:$D$41),0))</x:f>
      </x:c>
      <x:c r="D6" s="13" t="str">
        <x:f>IF(SUMIF('統計總表'!$A$2:$A$41,A6,'統計總表'!$E$2:$E$41)=0,"",ROUND(B6/SUMIF('統計總表'!$A$2:$A$41,A6,'統計總表'!$E$2:$E$41),0))</x:f>
      </x:c>
      <x:c r="E6" s="13" t="str">
        <x:f>IF(SUMIF('統計總表'!$A$2:$A$41,A6,'統計總表'!$F$2:$F$41)=0,"",ROUND(B6/SUMIF('統計總表'!$A$2:$A$41,A6,'統計總表'!$F$2:$F$41),0))</x:f>
      </x:c>
      <x:c r="F6" s="13" t="str">
        <x:f>IF(SUMIF('統計總表'!$A$2:$A$41,A6,'統計總表'!$G$2:$G$41)=0,"",ROUND(B6/SUMIF('統計總表'!$A$2:$A$41,A6,'統計總表'!$G$2:$G$41),0))</x:f>
      </x:c>
    </x:row>
    <x:row r="7" ht="22" customHeight="1">
      <x:c r="A7" s="11" t="str">
        <x:f>IF('統計總表'!A7="","",'統計總表'!A7)</x:f>
      </x:c>
      <x:c r="B7" s="13" t="str">
        <x:f>IF(A7="","",SUMIF('統計總表'!$A$2:$A$41,A7,'統計總表'!$C$2:$C$41))</x:f>
      </x:c>
      <x:c r="C7" s="13" t="str">
        <x:f>IF(SUMIF('統計總表'!$A$2:$A$41,A7,'統計總表'!$D$2:$D$41)=0,"",ROUND(B7/SUMIF('統計總表'!$A$2:$A$41,A7,'統計總表'!$D$2:$D$41),0))</x:f>
      </x:c>
      <x:c r="D7" s="13" t="str">
        <x:f>IF(SUMIF('統計總表'!$A$2:$A$41,A7,'統計總表'!$E$2:$E$41)=0,"",ROUND(B7/SUMIF('統計總表'!$A$2:$A$41,A7,'統計總表'!$E$2:$E$41),0))</x:f>
      </x:c>
      <x:c r="E7" s="13" t="str">
        <x:f>IF(SUMIF('統計總表'!$A$2:$A$41,A7,'統計總表'!$F$2:$F$41)=0,"",ROUND(B7/SUMIF('統計總表'!$A$2:$A$41,A7,'統計總表'!$F$2:$F$41),0))</x:f>
      </x:c>
      <x:c r="F7" s="13" t="str">
        <x:f>IF(SUMIF('統計總表'!$A$2:$A$41,A7,'統計總表'!$G$2:$G$41)=0,"",ROUND(B7/SUMIF('統計總表'!$A$2:$A$41,A7,'統計總表'!$G$2:$G$41),0))</x:f>
      </x:c>
    </x:row>
    <x:row r="8" ht="22" customHeight="1">
      <x:c r="A8" s="11" t="str">
        <x:f>IF('統計總表'!A8="","",'統計總表'!A8)</x:f>
      </x:c>
      <x:c r="B8" s="13" t="str">
        <x:f>IF(A8="","",SUMIF('統計總表'!$A$2:$A$41,A8,'統計總表'!$C$2:$C$41))</x:f>
      </x:c>
      <x:c r="C8" s="13" t="str">
        <x:f>IF(SUMIF('統計總表'!$A$2:$A$41,A8,'統計總表'!$D$2:$D$41)=0,"",ROUND(B8/SUMIF('統計總表'!$A$2:$A$41,A8,'統計總表'!$D$2:$D$41),0))</x:f>
      </x:c>
      <x:c r="D8" s="13" t="str">
        <x:f>IF(SUMIF('統計總表'!$A$2:$A$41,A8,'統計總表'!$E$2:$E$41)=0,"",ROUND(B8/SUMIF('統計總表'!$A$2:$A$41,A8,'統計總表'!$E$2:$E$41),0))</x:f>
      </x:c>
      <x:c r="E8" s="13" t="str">
        <x:f>IF(SUMIF('統計總表'!$A$2:$A$41,A8,'統計總表'!$F$2:$F$41)=0,"",ROUND(B8/SUMIF('統計總表'!$A$2:$A$41,A8,'統計總表'!$F$2:$F$41),0))</x:f>
      </x:c>
      <x:c r="F8" s="13" t="str">
        <x:f>IF(SUMIF('統計總表'!$A$2:$A$41,A8,'統計總表'!$G$2:$G$41)=0,"",ROUND(B8/SUMIF('統計總表'!$A$2:$A$41,A8,'統計總表'!$G$2:$G$41),0))</x:f>
      </x:c>
    </x:row>
    <x:row r="9" ht="22" customHeight="1">
      <x:c r="A9" s="11" t="str">
        <x:f>IF('統計總表'!A9="","",'統計總表'!A9)</x:f>
      </x:c>
      <x:c r="B9" s="13" t="str">
        <x:f>IF(A9="","",SUMIF('統計總表'!$A$2:$A$41,A9,'統計總表'!$C$2:$C$41))</x:f>
      </x:c>
      <x:c r="C9" s="13" t="str">
        <x:f>IF(SUMIF('統計總表'!$A$2:$A$41,A9,'統計總表'!$D$2:$D$41)=0,"",ROUND(B9/SUMIF('統計總表'!$A$2:$A$41,A9,'統計總表'!$D$2:$D$41),0))</x:f>
      </x:c>
      <x:c r="D9" s="13" t="str">
        <x:f>IF(SUMIF('統計總表'!$A$2:$A$41,A9,'統計總表'!$E$2:$E$41)=0,"",ROUND(B9/SUMIF('統計總表'!$A$2:$A$41,A9,'統計總表'!$E$2:$E$41),0))</x:f>
      </x:c>
      <x:c r="E9" s="13" t="str">
        <x:f>IF(SUMIF('統計總表'!$A$2:$A$41,A9,'統計總表'!$F$2:$F$41)=0,"",ROUND(B9/SUMIF('統計總表'!$A$2:$A$41,A9,'統計總表'!$F$2:$F$41),0))</x:f>
      </x:c>
      <x:c r="F9" s="13" t="str">
        <x:f>IF(SUMIF('統計總表'!$A$2:$A$41,A9,'統計總表'!$G$2:$G$41)=0,"",ROUND(B9/SUMIF('統計總表'!$A$2:$A$41,A9,'統計總表'!$G$2:$G$41),0))</x:f>
      </x:c>
    </x:row>
    <x:row r="10" ht="22" customHeight="1">
      <x:c r="A10" s="11" t="str">
        <x:f>IF('統計總表'!A10="","",'統計總表'!A10)</x:f>
      </x:c>
      <x:c r="B10" s="13" t="str">
        <x:f>IF(A10="","",SUMIF('統計總表'!$A$2:$A$41,A10,'統計總表'!$C$2:$C$41))</x:f>
      </x:c>
      <x:c r="C10" s="13" t="str">
        <x:f>IF(SUMIF('統計總表'!$A$2:$A$41,A10,'統計總表'!$D$2:$D$41)=0,"",ROUND(B10/SUMIF('統計總表'!$A$2:$A$41,A10,'統計總表'!$D$2:$D$41),0))</x:f>
      </x:c>
      <x:c r="D10" s="13" t="str">
        <x:f>IF(SUMIF('統計總表'!$A$2:$A$41,A10,'統計總表'!$E$2:$E$41)=0,"",ROUND(B10/SUMIF('統計總表'!$A$2:$A$41,A10,'統計總表'!$E$2:$E$41),0))</x:f>
      </x:c>
      <x:c r="E10" s="13" t="str">
        <x:f>IF(SUMIF('統計總表'!$A$2:$A$41,A10,'統計總表'!$F$2:$F$41)=0,"",ROUND(B10/SUMIF('統計總表'!$A$2:$A$41,A10,'統計總表'!$F$2:$F$41),0))</x:f>
      </x:c>
      <x:c r="F10" s="13" t="str">
        <x:f>IF(SUMIF('統計總表'!$A$2:$A$41,A10,'統計總表'!$G$2:$G$41)=0,"",ROUND(B10/SUMIF('統計總表'!$A$2:$A$41,A10,'統計總表'!$G$2:$G$41),0))</x:f>
      </x:c>
    </x:row>
    <x:row r="11" ht="22" customHeight="1">
      <x:c r="A11" s="11" t="str">
        <x:f>IF('統計總表'!A11="","",'統計總表'!A11)</x:f>
      </x:c>
      <x:c r="B11" s="13" t="str">
        <x:f>IF(A11="","",SUMIF('統計總表'!$A$2:$A$41,A11,'統計總表'!$C$2:$C$41))</x:f>
      </x:c>
      <x:c r="C11" s="13" t="str">
        <x:f>IF(SUMIF('統計總表'!$A$2:$A$41,A11,'統計總表'!$D$2:$D$41)=0,"",ROUND(B11/SUMIF('統計總表'!$A$2:$A$41,A11,'統計總表'!$D$2:$D$41),0))</x:f>
      </x:c>
      <x:c r="D11" s="13" t="str">
        <x:f>IF(SUMIF('統計總表'!$A$2:$A$41,A11,'統計總表'!$E$2:$E$41)=0,"",ROUND(B11/SUMIF('統計總表'!$A$2:$A$41,A11,'統計總表'!$E$2:$E$41),0))</x:f>
      </x:c>
      <x:c r="E11" s="13" t="str">
        <x:f>IF(SUMIF('統計總表'!$A$2:$A$41,A11,'統計總表'!$F$2:$F$41)=0,"",ROUND(B11/SUMIF('統計總表'!$A$2:$A$41,A11,'統計總表'!$F$2:$F$41),0))</x:f>
      </x:c>
      <x:c r="F11" s="13" t="str">
        <x:f>IF(SUMIF('統計總表'!$A$2:$A$41,A11,'統計總表'!$G$2:$G$41)=0,"",ROUND(B11/SUMIF('統計總表'!$A$2:$A$41,A11,'統計總表'!$G$2:$G$41),0))</x:f>
      </x:c>
    </x:row>
    <x:row r="12" ht="22" customHeight="1">
      <x:c r="A12" s="11" t="str">
        <x:f>IF('統計總表'!A12="","",'統計總表'!A12)</x:f>
      </x:c>
      <x:c r="B12" s="13" t="str">
        <x:f>IF(A12="","",SUMIF('統計總表'!$A$2:$A$41,A12,'統計總表'!$C$2:$C$41))</x:f>
      </x:c>
      <x:c r="C12" s="13" t="str">
        <x:f>IF(SUMIF('統計總表'!$A$2:$A$41,A12,'統計總表'!$D$2:$D$41)=0,"",ROUND(B12/SUMIF('統計總表'!$A$2:$A$41,A12,'統計總表'!$D$2:$D$41),0))</x:f>
      </x:c>
      <x:c r="D12" s="13" t="str">
        <x:f>IF(SUMIF('統計總表'!$A$2:$A$41,A12,'統計總表'!$E$2:$E$41)=0,"",ROUND(B12/SUMIF('統計總表'!$A$2:$A$41,A12,'統計總表'!$E$2:$E$41),0))</x:f>
      </x:c>
      <x:c r="E12" s="13" t="str">
        <x:f>IF(SUMIF('統計總表'!$A$2:$A$41,A12,'統計總表'!$F$2:$F$41)=0,"",ROUND(B12/SUMIF('統計總表'!$A$2:$A$41,A12,'統計總表'!$F$2:$F$41),0))</x:f>
      </x:c>
      <x:c r="F12" s="13" t="str">
        <x:f>IF(SUMIF('統計總表'!$A$2:$A$41,A12,'統計總表'!$G$2:$G$41)=0,"",ROUND(B12/SUMIF('統計總表'!$A$2:$A$41,A12,'統計總表'!$G$2:$G$41),0))</x:f>
      </x:c>
    </x:row>
    <x:row r="13" ht="22" customHeight="1">
      <x:c r="A13" s="11" t="str">
        <x:f>IF('統計總表'!A13="","",'統計總表'!A13)</x:f>
      </x:c>
      <x:c r="B13" s="13" t="str">
        <x:f>IF(A13="","",SUMIF('統計總表'!$A$2:$A$41,A13,'統計總表'!$C$2:$C$41))</x:f>
      </x:c>
      <x:c r="C13" s="13" t="str">
        <x:f>IF(SUMIF('統計總表'!$A$2:$A$41,A13,'統計總表'!$D$2:$D$41)=0,"",ROUND(B13/SUMIF('統計總表'!$A$2:$A$41,A13,'統計總表'!$D$2:$D$41),0))</x:f>
      </x:c>
      <x:c r="D13" s="13" t="str">
        <x:f>IF(SUMIF('統計總表'!$A$2:$A$41,A13,'統計總表'!$E$2:$E$41)=0,"",ROUND(B13/SUMIF('統計總表'!$A$2:$A$41,A13,'統計總表'!$E$2:$E$41),0))</x:f>
      </x:c>
      <x:c r="E13" s="13" t="str">
        <x:f>IF(SUMIF('統計總表'!$A$2:$A$41,A13,'統計總表'!$F$2:$F$41)=0,"",ROUND(B13/SUMIF('統計總表'!$A$2:$A$41,A13,'統計總表'!$F$2:$F$41),0))</x:f>
      </x:c>
      <x:c r="F13" s="13" t="str">
        <x:f>IF(SUMIF('統計總表'!$A$2:$A$41,A13,'統計總表'!$G$2:$G$41)=0,"",ROUND(B13/SUMIF('統計總表'!$A$2:$A$41,A13,'統計總表'!$G$2:$G$41),0))</x:f>
      </x:c>
    </x:row>
    <x:row r="14" ht="22" customHeight="1">
      <x:c r="A14" s="11" t="str">
        <x:f>IF('統計總表'!A14="","",'統計總表'!A14)</x:f>
      </x:c>
      <x:c r="B14" s="13" t="str">
        <x:f>IF(A14="","",SUMIF('統計總表'!$A$2:$A$41,A14,'統計總表'!$C$2:$C$41))</x:f>
      </x:c>
      <x:c r="C14" s="13" t="str">
        <x:f>IF(SUMIF('統計總表'!$A$2:$A$41,A14,'統計總表'!$D$2:$D$41)=0,"",ROUND(B14/SUMIF('統計總表'!$A$2:$A$41,A14,'統計總表'!$D$2:$D$41),0))</x:f>
      </x:c>
      <x:c r="D14" s="13" t="str">
        <x:f>IF(SUMIF('統計總表'!$A$2:$A$41,A14,'統計總表'!$E$2:$E$41)=0,"",ROUND(B14/SUMIF('統計總表'!$A$2:$A$41,A14,'統計總表'!$E$2:$E$41),0))</x:f>
      </x:c>
      <x:c r="E14" s="13" t="str">
        <x:f>IF(SUMIF('統計總表'!$A$2:$A$41,A14,'統計總表'!$F$2:$F$41)=0,"",ROUND(B14/SUMIF('統計總表'!$A$2:$A$41,A14,'統計總表'!$F$2:$F$41),0))</x:f>
      </x:c>
      <x:c r="F14" s="13" t="str">
        <x:f>IF(SUMIF('統計總表'!$A$2:$A$41,A14,'統計總表'!$G$2:$G$41)=0,"",ROUND(B14/SUMIF('統計總表'!$A$2:$A$41,A14,'統計總表'!$G$2:$G$41),0))</x:f>
      </x:c>
    </x:row>
    <x:row r="15" ht="22" customHeight="1">
      <x:c r="A15" s="11" t="str">
        <x:f>IF('統計總表'!A15="","",'統計總表'!A15)</x:f>
      </x:c>
      <x:c r="B15" s="13" t="str">
        <x:f>IF(A15="","",SUMIF('統計總表'!$A$2:$A$41,A15,'統計總表'!$C$2:$C$41))</x:f>
      </x:c>
      <x:c r="C15" s="13" t="str">
        <x:f>IF(SUMIF('統計總表'!$A$2:$A$41,A15,'統計總表'!$D$2:$D$41)=0,"",ROUND(B15/SUMIF('統計總表'!$A$2:$A$41,A15,'統計總表'!$D$2:$D$41),0))</x:f>
      </x:c>
      <x:c r="D15" s="13" t="str">
        <x:f>IF(SUMIF('統計總表'!$A$2:$A$41,A15,'統計總表'!$E$2:$E$41)=0,"",ROUND(B15/SUMIF('統計總表'!$A$2:$A$41,A15,'統計總表'!$E$2:$E$41),0))</x:f>
      </x:c>
      <x:c r="E15" s="13" t="str">
        <x:f>IF(SUMIF('統計總表'!$A$2:$A$41,A15,'統計總表'!$F$2:$F$41)=0,"",ROUND(B15/SUMIF('統計總表'!$A$2:$A$41,A15,'統計總表'!$F$2:$F$41),0))</x:f>
      </x:c>
      <x:c r="F15" s="13" t="str">
        <x:f>IF(SUMIF('統計總表'!$A$2:$A$41,A15,'統計總表'!$G$2:$G$41)=0,"",ROUND(B15/SUMIF('統計總表'!$A$2:$A$41,A15,'統計總表'!$G$2:$G$41),0))</x:f>
      </x:c>
    </x:row>
    <x:row r="16" ht="22" customHeight="1">
      <x:c r="A16" s="11" t="str">
        <x:f>IF('統計總表'!A16="","",'統計總表'!A16)</x:f>
      </x:c>
      <x:c r="B16" s="13" t="str">
        <x:f>IF(A16="","",SUMIF('統計總表'!$A$2:$A$41,A16,'統計總表'!$C$2:$C$41))</x:f>
      </x:c>
      <x:c r="C16" s="13" t="str">
        <x:f>IF(SUMIF('統計總表'!$A$2:$A$41,A16,'統計總表'!$D$2:$D$41)=0,"",ROUND(B16/SUMIF('統計總表'!$A$2:$A$41,A16,'統計總表'!$D$2:$D$41),0))</x:f>
      </x:c>
      <x:c r="D16" s="13" t="str">
        <x:f>IF(SUMIF('統計總表'!$A$2:$A$41,A16,'統計總表'!$E$2:$E$41)=0,"",ROUND(B16/SUMIF('統計總表'!$A$2:$A$41,A16,'統計總表'!$E$2:$E$41),0))</x:f>
      </x:c>
      <x:c r="E16" s="13" t="str">
        <x:f>IF(SUMIF('統計總表'!$A$2:$A$41,A16,'統計總表'!$F$2:$F$41)=0,"",ROUND(B16/SUMIF('統計總表'!$A$2:$A$41,A16,'統計總表'!$F$2:$F$41),0))</x:f>
      </x:c>
      <x:c r="F16" s="13" t="str">
        <x:f>IF(SUMIF('統計總表'!$A$2:$A$41,A16,'統計總表'!$G$2:$G$41)=0,"",ROUND(B16/SUMIF('統計總表'!$A$2:$A$41,A16,'統計總表'!$G$2:$G$41),0))</x:f>
      </x:c>
    </x:row>
    <x:row r="17" ht="22" customHeight="1">
      <x:c r="A17" s="11" t="str">
        <x:f>IF('統計總表'!A17="","",'統計總表'!A17)</x:f>
      </x:c>
      <x:c r="B17" s="13" t="str">
        <x:f>IF(A17="","",SUMIF('統計總表'!$A$2:$A$41,A17,'統計總表'!$C$2:$C$41))</x:f>
      </x:c>
      <x:c r="C17" s="13" t="str">
        <x:f>IF(SUMIF('統計總表'!$A$2:$A$41,A17,'統計總表'!$D$2:$D$41)=0,"",ROUND(B17/SUMIF('統計總表'!$A$2:$A$41,A17,'統計總表'!$D$2:$D$41),0))</x:f>
      </x:c>
      <x:c r="D17" s="13" t="str">
        <x:f>IF(SUMIF('統計總表'!$A$2:$A$41,A17,'統計總表'!$E$2:$E$41)=0,"",ROUND(B17/SUMIF('統計總表'!$A$2:$A$41,A17,'統計總表'!$E$2:$E$41),0))</x:f>
      </x:c>
      <x:c r="E17" s="13" t="str">
        <x:f>IF(SUMIF('統計總表'!$A$2:$A$41,A17,'統計總表'!$F$2:$F$41)=0,"",ROUND(B17/SUMIF('統計總表'!$A$2:$A$41,A17,'統計總表'!$F$2:$F$41),0))</x:f>
      </x:c>
      <x:c r="F17" s="13" t="str">
        <x:f>IF(SUMIF('統計總表'!$A$2:$A$41,A17,'統計總表'!$G$2:$G$41)=0,"",ROUND(B17/SUMIF('統計總表'!$A$2:$A$41,A17,'統計總表'!$G$2:$G$41),0))</x:f>
      </x:c>
    </x:row>
    <x:row r="18" ht="22" customHeight="1">
      <x:c r="A18" s="11" t="str">
        <x:f>IF('統計總表'!A18="","",'統計總表'!A18)</x:f>
      </x:c>
      <x:c r="B18" s="13" t="str">
        <x:f>IF(A18="","",SUMIF('統計總表'!$A$2:$A$41,A18,'統計總表'!$C$2:$C$41))</x:f>
      </x:c>
      <x:c r="C18" s="13" t="str">
        <x:f>IF(SUMIF('統計總表'!$A$2:$A$41,A18,'統計總表'!$D$2:$D$41)=0,"",ROUND(B18/SUMIF('統計總表'!$A$2:$A$41,A18,'統計總表'!$D$2:$D$41),0))</x:f>
      </x:c>
      <x:c r="D18" s="13" t="str">
        <x:f>IF(SUMIF('統計總表'!$A$2:$A$41,A18,'統計總表'!$E$2:$E$41)=0,"",ROUND(B18/SUMIF('統計總表'!$A$2:$A$41,A18,'統計總表'!$E$2:$E$41),0))</x:f>
      </x:c>
      <x:c r="E18" s="13" t="str">
        <x:f>IF(SUMIF('統計總表'!$A$2:$A$41,A18,'統計總表'!$F$2:$F$41)=0,"",ROUND(B18/SUMIF('統計總表'!$A$2:$A$41,A18,'統計總表'!$F$2:$F$41),0))</x:f>
      </x:c>
      <x:c r="F18" s="13" t="str">
        <x:f>IF(SUMIF('統計總表'!$A$2:$A$41,A18,'統計總表'!$G$2:$G$41)=0,"",ROUND(B18/SUMIF('統計總表'!$A$2:$A$41,A18,'統計總表'!$G$2:$G$41),0))</x:f>
      </x:c>
    </x:row>
    <x:row r="19" ht="22" customHeight="1">
      <x:c r="A19" s="11" t="str">
        <x:f>IF('統計總表'!A19="","",'統計總表'!A19)</x:f>
      </x:c>
      <x:c r="B19" s="13" t="str">
        <x:f>IF(A19="","",SUMIF('統計總表'!$A$2:$A$41,A19,'統計總表'!$C$2:$C$41))</x:f>
      </x:c>
      <x:c r="C19" s="13" t="str">
        <x:f>IF(SUMIF('統計總表'!$A$2:$A$41,A19,'統計總表'!$D$2:$D$41)=0,"",ROUND(B19/SUMIF('統計總表'!$A$2:$A$41,A19,'統計總表'!$D$2:$D$41),0))</x:f>
      </x:c>
      <x:c r="D19" s="13" t="str">
        <x:f>IF(SUMIF('統計總表'!$A$2:$A$41,A19,'統計總表'!$E$2:$E$41)=0,"",ROUND(B19/SUMIF('統計總表'!$A$2:$A$41,A19,'統計總表'!$E$2:$E$41),0))</x:f>
      </x:c>
      <x:c r="E19" s="13" t="str">
        <x:f>IF(SUMIF('統計總表'!$A$2:$A$41,A19,'統計總表'!$F$2:$F$41)=0,"",ROUND(B19/SUMIF('統計總表'!$A$2:$A$41,A19,'統計總表'!$F$2:$F$41),0))</x:f>
      </x:c>
      <x:c r="F19" s="13" t="str">
        <x:f>IF(SUMIF('統計總表'!$A$2:$A$41,A19,'統計總表'!$G$2:$G$41)=0,"",ROUND(B19/SUMIF('統計總表'!$A$2:$A$41,A19,'統計總表'!$G$2:$G$41),0))</x:f>
      </x:c>
    </x:row>
    <x:row r="20" ht="22" customHeight="1">
      <x:c r="A20" s="11" t="str">
        <x:f>IF('統計總表'!A20="","",'統計總表'!A20)</x:f>
      </x:c>
      <x:c r="B20" s="13" t="str">
        <x:f>IF(A20="","",SUMIF('統計總表'!$A$2:$A$41,A20,'統計總表'!$C$2:$C$41))</x:f>
      </x:c>
      <x:c r="C20" s="13" t="str">
        <x:f>IF(SUMIF('統計總表'!$A$2:$A$41,A20,'統計總表'!$D$2:$D$41)=0,"",ROUND(B20/SUMIF('統計總表'!$A$2:$A$41,A20,'統計總表'!$D$2:$D$41),0))</x:f>
      </x:c>
      <x:c r="D20" s="13" t="str">
        <x:f>IF(SUMIF('統計總表'!$A$2:$A$41,A20,'統計總表'!$E$2:$E$41)=0,"",ROUND(B20/SUMIF('統計總表'!$A$2:$A$41,A20,'統計總表'!$E$2:$E$41),0))</x:f>
      </x:c>
      <x:c r="E20" s="13" t="str">
        <x:f>IF(SUMIF('統計總表'!$A$2:$A$41,A20,'統計總表'!$F$2:$F$41)=0,"",ROUND(B20/SUMIF('統計總表'!$A$2:$A$41,A20,'統計總表'!$F$2:$F$41),0))</x:f>
      </x:c>
      <x:c r="F20" s="13" t="str">
        <x:f>IF(SUMIF('統計總表'!$A$2:$A$41,A20,'統計總表'!$G$2:$G$41)=0,"",ROUND(B20/SUMIF('統計總表'!$A$2:$A$41,A20,'統計總表'!$G$2:$G$41),0))</x:f>
      </x:c>
    </x:row>
    <x:row r="21" ht="22" customHeight="1">
      <x:c r="A21" s="11" t="str">
        <x:f>IF('統計總表'!A21="","",'統計總表'!A21)</x:f>
      </x:c>
      <x:c r="B21" s="13" t="str">
        <x:f>IF(A21="","",SUMIF('統計總表'!$A$2:$A$41,A21,'統計總表'!$C$2:$C$41))</x:f>
      </x:c>
      <x:c r="C21" s="13" t="str">
        <x:f>IF(SUMIF('統計總表'!$A$2:$A$41,A21,'統計總表'!$D$2:$D$41)=0,"",ROUND(B21/SUMIF('統計總表'!$A$2:$A$41,A21,'統計總表'!$D$2:$D$41),0))</x:f>
      </x:c>
      <x:c r="D21" s="13" t="str">
        <x:f>IF(SUMIF('統計總表'!$A$2:$A$41,A21,'統計總表'!$E$2:$E$41)=0,"",ROUND(B21/SUMIF('統計總表'!$A$2:$A$41,A21,'統計總表'!$E$2:$E$41),0))</x:f>
      </x:c>
      <x:c r="E21" s="13" t="str">
        <x:f>IF(SUMIF('統計總表'!$A$2:$A$41,A21,'統計總表'!$F$2:$F$41)=0,"",ROUND(B21/SUMIF('統計總表'!$A$2:$A$41,A21,'統計總表'!$F$2:$F$41),0))</x:f>
      </x:c>
      <x:c r="F21" s="13" t="str">
        <x:f>IF(SUMIF('統計總表'!$A$2:$A$41,A21,'統計總表'!$G$2:$G$41)=0,"",ROUND(B21/SUMIF('統計總表'!$A$2:$A$41,A21,'統計總表'!$G$2:$G$41),0))</x:f>
      </x:c>
    </x:row>
    <x:row r="22" ht="22" customHeight="1">
      <x:c r="A22" s="11" t="str">
        <x:f>IF('統計總表'!A22="","",'統計總表'!A22)</x:f>
      </x:c>
      <x:c r="B22" s="13" t="str">
        <x:f>IF(A22="","",SUMIF('統計總表'!$A$2:$A$41,A22,'統計總表'!$C$2:$C$41))</x:f>
      </x:c>
      <x:c r="C22" s="13" t="str">
        <x:f>IF(SUMIF('統計總表'!$A$2:$A$41,A22,'統計總表'!$D$2:$D$41)=0,"",ROUND(B22/SUMIF('統計總表'!$A$2:$A$41,A22,'統計總表'!$D$2:$D$41),0))</x:f>
      </x:c>
      <x:c r="D22" s="13" t="str">
        <x:f>IF(SUMIF('統計總表'!$A$2:$A$41,A22,'統計總表'!$E$2:$E$41)=0,"",ROUND(B22/SUMIF('統計總表'!$A$2:$A$41,A22,'統計總表'!$E$2:$E$41),0))</x:f>
      </x:c>
      <x:c r="E22" s="13" t="str">
        <x:f>IF(SUMIF('統計總表'!$A$2:$A$41,A22,'統計總表'!$F$2:$F$41)=0,"",ROUND(B22/SUMIF('統計總表'!$A$2:$A$41,A22,'統計總表'!$F$2:$F$41),0))</x:f>
      </x:c>
      <x:c r="F22" s="13" t="str">
        <x:f>IF(SUMIF('統計總表'!$A$2:$A$41,A22,'統計總表'!$G$2:$G$41)=0,"",ROUND(B22/SUMIF('統計總表'!$A$2:$A$41,A22,'統計總表'!$G$2:$G$41),0))</x:f>
      </x:c>
    </x:row>
    <x:row r="23" ht="22" customHeight="1">
      <x:c r="A23" s="11" t="str">
        <x:f>IF('統計總表'!A23="","",'統計總表'!A23)</x:f>
      </x:c>
      <x:c r="B23" s="13" t="str">
        <x:f>IF(A23="","",SUMIF('統計總表'!$A$2:$A$41,A23,'統計總表'!$C$2:$C$41))</x:f>
      </x:c>
      <x:c r="C23" s="13" t="str">
        <x:f>IF(SUMIF('統計總表'!$A$2:$A$41,A23,'統計總表'!$D$2:$D$41)=0,"",ROUND(B23/SUMIF('統計總表'!$A$2:$A$41,A23,'統計總表'!$D$2:$D$41),0))</x:f>
      </x:c>
      <x:c r="D23" s="13" t="str">
        <x:f>IF(SUMIF('統計總表'!$A$2:$A$41,A23,'統計總表'!$E$2:$E$41)=0,"",ROUND(B23/SUMIF('統計總表'!$A$2:$A$41,A23,'統計總表'!$E$2:$E$41),0))</x:f>
      </x:c>
      <x:c r="E23" s="13" t="str">
        <x:f>IF(SUMIF('統計總表'!$A$2:$A$41,A23,'統計總表'!$F$2:$F$41)=0,"",ROUND(B23/SUMIF('統計總表'!$A$2:$A$41,A23,'統計總表'!$F$2:$F$41),0))</x:f>
      </x:c>
      <x:c r="F23" s="13" t="str">
        <x:f>IF(SUMIF('統計總表'!$A$2:$A$41,A23,'統計總表'!$G$2:$G$41)=0,"",ROUND(B23/SUMIF('統計總表'!$A$2:$A$41,A23,'統計總表'!$G$2:$G$41),0))</x:f>
      </x:c>
    </x:row>
    <x:row r="24" ht="22" customHeight="1">
      <x:c r="A24" s="11" t="str">
        <x:f>IF('統計總表'!A24="","",'統計總表'!A24)</x:f>
      </x:c>
      <x:c r="B24" s="13" t="str">
        <x:f>IF(A24="","",SUMIF('統計總表'!$A$2:$A$41,A24,'統計總表'!$C$2:$C$41))</x:f>
      </x:c>
      <x:c r="C24" s="13" t="str">
        <x:f>IF(SUMIF('統計總表'!$A$2:$A$41,A24,'統計總表'!$D$2:$D$41)=0,"",ROUND(B24/SUMIF('統計總表'!$A$2:$A$41,A24,'統計總表'!$D$2:$D$41),0))</x:f>
      </x:c>
      <x:c r="D24" s="13" t="str">
        <x:f>IF(SUMIF('統計總表'!$A$2:$A$41,A24,'統計總表'!$E$2:$E$41)=0,"",ROUND(B24/SUMIF('統計總表'!$A$2:$A$41,A24,'統計總表'!$E$2:$E$41),0))</x:f>
      </x:c>
      <x:c r="E24" s="13" t="str">
        <x:f>IF(SUMIF('統計總表'!$A$2:$A$41,A24,'統計總表'!$F$2:$F$41)=0,"",ROUND(B24/SUMIF('統計總表'!$A$2:$A$41,A24,'統計總表'!$F$2:$F$41),0))</x:f>
      </x:c>
      <x:c r="F24" s="13" t="str">
        <x:f>IF(SUMIF('統計總表'!$A$2:$A$41,A24,'統計總表'!$G$2:$G$41)=0,"",ROUND(B24/SUMIF('統計總表'!$A$2:$A$41,A24,'統計總表'!$G$2:$G$41),0))</x:f>
      </x:c>
    </x:row>
    <x:row r="25" ht="22" customHeight="1">
      <x:c r="A25" s="11" t="str">
        <x:f>IF('統計總表'!A25="","",'統計總表'!A25)</x:f>
      </x:c>
      <x:c r="B25" s="13" t="str">
        <x:f>IF(A25="","",SUMIF('統計總表'!$A$2:$A$41,A25,'統計總表'!$C$2:$C$41))</x:f>
      </x:c>
      <x:c r="C25" s="13" t="str">
        <x:f>IF(SUMIF('統計總表'!$A$2:$A$41,A25,'統計總表'!$D$2:$D$41)=0,"",ROUND(B25/SUMIF('統計總表'!$A$2:$A$41,A25,'統計總表'!$D$2:$D$41),0))</x:f>
      </x:c>
      <x:c r="D25" s="13" t="str">
        <x:f>IF(SUMIF('統計總表'!$A$2:$A$41,A25,'統計總表'!$E$2:$E$41)=0,"",ROUND(B25/SUMIF('統計總表'!$A$2:$A$41,A25,'統計總表'!$E$2:$E$41),0))</x:f>
      </x:c>
      <x:c r="E25" s="13" t="str">
        <x:f>IF(SUMIF('統計總表'!$A$2:$A$41,A25,'統計總表'!$F$2:$F$41)=0,"",ROUND(B25/SUMIF('統計總表'!$A$2:$A$41,A25,'統計總表'!$F$2:$F$41),0))</x:f>
      </x:c>
      <x:c r="F25" s="13" t="str">
        <x:f>IF(SUMIF('統計總表'!$A$2:$A$41,A25,'統計總表'!$G$2:$G$41)=0,"",ROUND(B25/SUMIF('統計總表'!$A$2:$A$41,A25,'統計總表'!$G$2:$G$41),0))</x:f>
      </x:c>
    </x:row>
    <x:row r="26" ht="22" customHeight="1">
      <x:c r="A26" s="11" t="str">
        <x:f>IF('統計總表'!A26="","",'統計總表'!A26)</x:f>
      </x:c>
      <x:c r="B26" s="13" t="str">
        <x:f>IF(A26="","",SUMIF('統計總表'!$A$2:$A$41,A26,'統計總表'!$C$2:$C$41))</x:f>
      </x:c>
      <x:c r="C26" s="13" t="str">
        <x:f>IF(SUMIF('統計總表'!$A$2:$A$41,A26,'統計總表'!$D$2:$D$41)=0,"",ROUND(B26/SUMIF('統計總表'!$A$2:$A$41,A26,'統計總表'!$D$2:$D$41),0))</x:f>
      </x:c>
      <x:c r="D26" s="13" t="str">
        <x:f>IF(SUMIF('統計總表'!$A$2:$A$41,A26,'統計總表'!$E$2:$E$41)=0,"",ROUND(B26/SUMIF('統計總表'!$A$2:$A$41,A26,'統計總表'!$E$2:$E$41),0))</x:f>
      </x:c>
      <x:c r="E26" s="13" t="str">
        <x:f>IF(SUMIF('統計總表'!$A$2:$A$41,A26,'統計總表'!$F$2:$F$41)=0,"",ROUND(B26/SUMIF('統計總表'!$A$2:$A$41,A26,'統計總表'!$F$2:$F$41),0))</x:f>
      </x:c>
      <x:c r="F26" s="13" t="str">
        <x:f>IF(SUMIF('統計總表'!$A$2:$A$41,A26,'統計總表'!$G$2:$G$41)=0,"",ROUND(B26/SUMIF('統計總表'!$A$2:$A$41,A26,'統計總表'!$G$2:$G$41),0))</x:f>
      </x:c>
    </x:row>
    <x:row r="27" ht="22" customHeight="1">
      <x:c r="A27" s="11" t="str">
        <x:f>IF('統計總表'!A27="","",'統計總表'!A27)</x:f>
      </x:c>
      <x:c r="B27" s="13" t="str">
        <x:f>IF(A27="","",SUMIF('統計總表'!$A$2:$A$41,A27,'統計總表'!$C$2:$C$41))</x:f>
      </x:c>
      <x:c r="C27" s="13" t="str">
        <x:f>IF(SUMIF('統計總表'!$A$2:$A$41,A27,'統計總表'!$D$2:$D$41)=0,"",ROUND(B27/SUMIF('統計總表'!$A$2:$A$41,A27,'統計總表'!$D$2:$D$41),0))</x:f>
      </x:c>
      <x:c r="D27" s="13" t="str">
        <x:f>IF(SUMIF('統計總表'!$A$2:$A$41,A27,'統計總表'!$E$2:$E$41)=0,"",ROUND(B27/SUMIF('統計總表'!$A$2:$A$41,A27,'統計總表'!$E$2:$E$41),0))</x:f>
      </x:c>
      <x:c r="E27" s="13" t="str">
        <x:f>IF(SUMIF('統計總表'!$A$2:$A$41,A27,'統計總表'!$F$2:$F$41)=0,"",ROUND(B27/SUMIF('統計總表'!$A$2:$A$41,A27,'統計總表'!$F$2:$F$41),0))</x:f>
      </x:c>
      <x:c r="F27" s="13" t="str">
        <x:f>IF(SUMIF('統計總表'!$A$2:$A$41,A27,'統計總表'!$G$2:$G$41)=0,"",ROUND(B27/SUMIF('統計總表'!$A$2:$A$41,A27,'統計總表'!$G$2:$G$41),0))</x:f>
      </x:c>
    </x:row>
    <x:row r="28" ht="22" customHeight="1">
      <x:c r="A28" s="11" t="str">
        <x:f>IF('統計總表'!A28="","",'統計總表'!A28)</x:f>
      </x:c>
      <x:c r="B28" s="13" t="str">
        <x:f>IF(A28="","",SUMIF('統計總表'!$A$2:$A$41,A28,'統計總表'!$C$2:$C$41))</x:f>
      </x:c>
      <x:c r="C28" s="13" t="str">
        <x:f>IF(SUMIF('統計總表'!$A$2:$A$41,A28,'統計總表'!$D$2:$D$41)=0,"",ROUND(B28/SUMIF('統計總表'!$A$2:$A$41,A28,'統計總表'!$D$2:$D$41),0))</x:f>
      </x:c>
      <x:c r="D28" s="13" t="str">
        <x:f>IF(SUMIF('統計總表'!$A$2:$A$41,A28,'統計總表'!$E$2:$E$41)=0,"",ROUND(B28/SUMIF('統計總表'!$A$2:$A$41,A28,'統計總表'!$E$2:$E$41),0))</x:f>
      </x:c>
      <x:c r="E28" s="13" t="str">
        <x:f>IF(SUMIF('統計總表'!$A$2:$A$41,A28,'統計總表'!$F$2:$F$41)=0,"",ROUND(B28/SUMIF('統計總表'!$A$2:$A$41,A28,'統計總表'!$F$2:$F$41),0))</x:f>
      </x:c>
      <x:c r="F28" s="13" t="str">
        <x:f>IF(SUMIF('統計總表'!$A$2:$A$41,A28,'統計總表'!$G$2:$G$41)=0,"",ROUND(B28/SUMIF('統計總表'!$A$2:$A$41,A28,'統計總表'!$G$2:$G$41),0))</x:f>
      </x:c>
    </x:row>
    <x:row r="29" ht="22" customHeight="1">
      <x:c r="A29" s="11" t="str">
        <x:f>IF('統計總表'!A29="","",'統計總表'!A29)</x:f>
      </x:c>
      <x:c r="B29" s="13" t="str">
        <x:f>IF(A29="","",SUMIF('統計總表'!$A$2:$A$41,A29,'統計總表'!$C$2:$C$41))</x:f>
      </x:c>
      <x:c r="C29" s="13" t="str">
        <x:f>IF(SUMIF('統計總表'!$A$2:$A$41,A29,'統計總表'!$D$2:$D$41)=0,"",ROUND(B29/SUMIF('統計總表'!$A$2:$A$41,A29,'統計總表'!$D$2:$D$41),0))</x:f>
      </x:c>
      <x:c r="D29" s="13" t="str">
        <x:f>IF(SUMIF('統計總表'!$A$2:$A$41,A29,'統計總表'!$E$2:$E$41)=0,"",ROUND(B29/SUMIF('統計總表'!$A$2:$A$41,A29,'統計總表'!$E$2:$E$41),0))</x:f>
      </x:c>
      <x:c r="E29" s="13" t="str">
        <x:f>IF(SUMIF('統計總表'!$A$2:$A$41,A29,'統計總表'!$F$2:$F$41)=0,"",ROUND(B29/SUMIF('統計總表'!$A$2:$A$41,A29,'統計總表'!$F$2:$F$41),0))</x:f>
      </x:c>
      <x:c r="F29" s="13" t="str">
        <x:f>IF(SUMIF('統計總表'!$A$2:$A$41,A29,'統計總表'!$G$2:$G$41)=0,"",ROUND(B29/SUMIF('統計總表'!$A$2:$A$41,A29,'統計總表'!$G$2:$G$41),0))</x:f>
      </x:c>
    </x:row>
    <x:row r="30" ht="22" customHeight="1">
      <x:c r="A30" s="11" t="str">
        <x:f>IF('統計總表'!A30="","",'統計總表'!A30)</x:f>
      </x:c>
      <x:c r="B30" s="13" t="str">
        <x:f>IF(A30="","",SUMIF('統計總表'!$A$2:$A$41,A30,'統計總表'!$C$2:$C$41))</x:f>
      </x:c>
      <x:c r="C30" s="13" t="str">
        <x:f>IF(SUMIF('統計總表'!$A$2:$A$41,A30,'統計總表'!$D$2:$D$41)=0,"",ROUND(B30/SUMIF('統計總表'!$A$2:$A$41,A30,'統計總表'!$D$2:$D$41),0))</x:f>
      </x:c>
      <x:c r="D30" s="13" t="str">
        <x:f>IF(SUMIF('統計總表'!$A$2:$A$41,A30,'統計總表'!$E$2:$E$41)=0,"",ROUND(B30/SUMIF('統計總表'!$A$2:$A$41,A30,'統計總表'!$E$2:$E$41),0))</x:f>
      </x:c>
      <x:c r="E30" s="13" t="str">
        <x:f>IF(SUMIF('統計總表'!$A$2:$A$41,A30,'統計總表'!$F$2:$F$41)=0,"",ROUND(B30/SUMIF('統計總表'!$A$2:$A$41,A30,'統計總表'!$F$2:$F$41),0))</x:f>
      </x:c>
      <x:c r="F30" s="13" t="str">
        <x:f>IF(SUMIF('統計總表'!$A$2:$A$41,A30,'統計總表'!$G$2:$G$41)=0,"",ROUND(B30/SUMIF('統計總表'!$A$2:$A$41,A30,'統計總表'!$G$2:$G$41),0))</x:f>
      </x:c>
    </x:row>
    <x:row r="31" ht="22" customHeight="1">
      <x:c r="A31" s="11" t="str">
        <x:f>IF('統計總表'!A31="","",'統計總表'!A31)</x:f>
      </x:c>
      <x:c r="B31" s="13" t="str">
        <x:f>IF(A31="","",SUMIF('統計總表'!$A$2:$A$41,A31,'統計總表'!$C$2:$C$41))</x:f>
      </x:c>
      <x:c r="C31" s="13" t="str">
        <x:f>IF(SUMIF('統計總表'!$A$2:$A$41,A31,'統計總表'!$D$2:$D$41)=0,"",ROUND(B31/SUMIF('統計總表'!$A$2:$A$41,A31,'統計總表'!$D$2:$D$41),0))</x:f>
      </x:c>
      <x:c r="D31" s="13" t="str">
        <x:f>IF(SUMIF('統計總表'!$A$2:$A$41,A31,'統計總表'!$E$2:$E$41)=0,"",ROUND(B31/SUMIF('統計總表'!$A$2:$A$41,A31,'統計總表'!$E$2:$E$41),0))</x:f>
      </x:c>
      <x:c r="E31" s="13" t="str">
        <x:f>IF(SUMIF('統計總表'!$A$2:$A$41,A31,'統計總表'!$F$2:$F$41)=0,"",ROUND(B31/SUMIF('統計總表'!$A$2:$A$41,A31,'統計總表'!$F$2:$F$41),0))</x:f>
      </x:c>
      <x:c r="F31" s="13" t="str">
        <x:f>IF(SUMIF('統計總表'!$A$2:$A$41,A31,'統計總表'!$G$2:$G$41)=0,"",ROUND(B31/SUMIF('統計總表'!$A$2:$A$41,A31,'統計總表'!$G$2:$G$41),0))</x:f>
      </x:c>
    </x:row>
    <x:row r="32" ht="22" customHeight="1">
      <x:c r="A32" s="11" t="str">
        <x:f>IF('統計總表'!A32="","",'統計總表'!A32)</x:f>
      </x:c>
      <x:c r="B32" s="13" t="str">
        <x:f>IF(A32="","",SUMIF('統計總表'!$A$2:$A$41,A32,'統計總表'!$C$2:$C$41))</x:f>
      </x:c>
      <x:c r="C32" s="13" t="str">
        <x:f>IF(SUMIF('統計總表'!$A$2:$A$41,A32,'統計總表'!$D$2:$D$41)=0,"",ROUND(B32/SUMIF('統計總表'!$A$2:$A$41,A32,'統計總表'!$D$2:$D$41),0))</x:f>
      </x:c>
      <x:c r="D32" s="13" t="str">
        <x:f>IF(SUMIF('統計總表'!$A$2:$A$41,A32,'統計總表'!$E$2:$E$41)=0,"",ROUND(B32/SUMIF('統計總表'!$A$2:$A$41,A32,'統計總表'!$E$2:$E$41),0))</x:f>
      </x:c>
      <x:c r="E32" s="13" t="str">
        <x:f>IF(SUMIF('統計總表'!$A$2:$A$41,A32,'統計總表'!$F$2:$F$41)=0,"",ROUND(B32/SUMIF('統計總表'!$A$2:$A$41,A32,'統計總表'!$F$2:$F$41),0))</x:f>
      </x:c>
      <x:c r="F32" s="13" t="str">
        <x:f>IF(SUMIF('統計總表'!$A$2:$A$41,A32,'統計總表'!$G$2:$G$41)=0,"",ROUND(B32/SUMIF('統計總表'!$A$2:$A$41,A32,'統計總表'!$G$2:$G$41),0))</x:f>
      </x:c>
    </x:row>
    <x:row r="33" ht="22" customHeight="1">
      <x:c r="A33" s="11" t="str">
        <x:f>IF('統計總表'!A33="","",'統計總表'!A33)</x:f>
      </x:c>
      <x:c r="B33" s="13" t="str">
        <x:f>IF(A33="","",SUMIF('統計總表'!$A$2:$A$41,A33,'統計總表'!$C$2:$C$41))</x:f>
      </x:c>
      <x:c r="C33" s="13" t="str">
        <x:f>IF(SUMIF('統計總表'!$A$2:$A$41,A33,'統計總表'!$D$2:$D$41)=0,"",ROUND(B33/SUMIF('統計總表'!$A$2:$A$41,A33,'統計總表'!$D$2:$D$41),0))</x:f>
      </x:c>
      <x:c r="D33" s="13" t="str">
        <x:f>IF(SUMIF('統計總表'!$A$2:$A$41,A33,'統計總表'!$E$2:$E$41)=0,"",ROUND(B33/SUMIF('統計總表'!$A$2:$A$41,A33,'統計總表'!$E$2:$E$41),0))</x:f>
      </x:c>
      <x:c r="E33" s="13" t="str">
        <x:f>IF(SUMIF('統計總表'!$A$2:$A$41,A33,'統計總表'!$F$2:$F$41)=0,"",ROUND(B33/SUMIF('統計總表'!$A$2:$A$41,A33,'統計總表'!$F$2:$F$41),0))</x:f>
      </x:c>
      <x:c r="F33" s="13" t="str">
        <x:f>IF(SUMIF('統計總表'!$A$2:$A$41,A33,'統計總表'!$G$2:$G$41)=0,"",ROUND(B33/SUMIF('統計總表'!$A$2:$A$41,A33,'統計總表'!$G$2:$G$41),0))</x:f>
      </x:c>
    </x:row>
    <x:row r="34" ht="22" customHeight="1">
      <x:c r="A34" s="11" t="str">
        <x:f>IF('統計總表'!A34="","",'統計總表'!A34)</x:f>
      </x:c>
      <x:c r="B34" s="13" t="str">
        <x:f>IF(A34="","",SUMIF('統計總表'!$A$2:$A$41,A34,'統計總表'!$C$2:$C$41))</x:f>
      </x:c>
      <x:c r="C34" s="13" t="str">
        <x:f>IF(SUMIF('統計總表'!$A$2:$A$41,A34,'統計總表'!$D$2:$D$41)=0,"",ROUND(B34/SUMIF('統計總表'!$A$2:$A$41,A34,'統計總表'!$D$2:$D$41),0))</x:f>
      </x:c>
      <x:c r="D34" s="13" t="str">
        <x:f>IF(SUMIF('統計總表'!$A$2:$A$41,A34,'統計總表'!$E$2:$E$41)=0,"",ROUND(B34/SUMIF('統計總表'!$A$2:$A$41,A34,'統計總表'!$E$2:$E$41),0))</x:f>
      </x:c>
      <x:c r="E34" s="13" t="str">
        <x:f>IF(SUMIF('統計總表'!$A$2:$A$41,A34,'統計總表'!$F$2:$F$41)=0,"",ROUND(B34/SUMIF('統計總表'!$A$2:$A$41,A34,'統計總表'!$F$2:$F$41),0))</x:f>
      </x:c>
      <x:c r="F34" s="13" t="str">
        <x:f>IF(SUMIF('統計總表'!$A$2:$A$41,A34,'統計總表'!$G$2:$G$41)=0,"",ROUND(B34/SUMIF('統計總表'!$A$2:$A$41,A34,'統計總表'!$G$2:$G$41),0))</x:f>
      </x:c>
    </x:row>
    <x:row r="35" ht="22" customHeight="1">
      <x:c r="A35" s="11" t="str">
        <x:f>IF('統計總表'!A35="","",'統計總表'!A35)</x:f>
      </x:c>
      <x:c r="B35" s="13" t="str">
        <x:f>IF(A35="","",SUMIF('統計總表'!$A$2:$A$41,A35,'統計總表'!$C$2:$C$41))</x:f>
      </x:c>
      <x:c r="C35" s="13" t="str">
        <x:f>IF(SUMIF('統計總表'!$A$2:$A$41,A35,'統計總表'!$D$2:$D$41)=0,"",ROUND(B35/SUMIF('統計總表'!$A$2:$A$41,A35,'統計總表'!$D$2:$D$41),0))</x:f>
      </x:c>
      <x:c r="D35" s="13" t="str">
        <x:f>IF(SUMIF('統計總表'!$A$2:$A$41,A35,'統計總表'!$E$2:$E$41)=0,"",ROUND(B35/SUMIF('統計總表'!$A$2:$A$41,A35,'統計總表'!$E$2:$E$41),0))</x:f>
      </x:c>
      <x:c r="E35" s="13" t="str">
        <x:f>IF(SUMIF('統計總表'!$A$2:$A$41,A35,'統計總表'!$F$2:$F$41)=0,"",ROUND(B35/SUMIF('統計總表'!$A$2:$A$41,A35,'統計總表'!$F$2:$F$41),0))</x:f>
      </x:c>
      <x:c r="F35" s="13" t="str">
        <x:f>IF(SUMIF('統計總表'!$A$2:$A$41,A35,'統計總表'!$G$2:$G$41)=0,"",ROUND(B35/SUMIF('統計總表'!$A$2:$A$41,A35,'統計總表'!$G$2:$G$41),0))</x:f>
      </x:c>
    </x:row>
    <x:row r="36" ht="22" customHeight="1">
      <x:c r="A36" s="11" t="str">
        <x:f>IF('統計總表'!A36="","",'統計總表'!A36)</x:f>
      </x:c>
      <x:c r="B36" s="13" t="str">
        <x:f>IF(A36="","",SUMIF('統計總表'!$A$2:$A$41,A36,'統計總表'!$C$2:$C$41))</x:f>
      </x:c>
      <x:c r="C36" s="13" t="str">
        <x:f>IF(SUMIF('統計總表'!$A$2:$A$41,A36,'統計總表'!$D$2:$D$41)=0,"",ROUND(B36/SUMIF('統計總表'!$A$2:$A$41,A36,'統計總表'!$D$2:$D$41),0))</x:f>
      </x:c>
      <x:c r="D36" s="13" t="str">
        <x:f>IF(SUMIF('統計總表'!$A$2:$A$41,A36,'統計總表'!$E$2:$E$41)=0,"",ROUND(B36/SUMIF('統計總表'!$A$2:$A$41,A36,'統計總表'!$E$2:$E$41),0))</x:f>
      </x:c>
      <x:c r="E36" s="13" t="str">
        <x:f>IF(SUMIF('統計總表'!$A$2:$A$41,A36,'統計總表'!$F$2:$F$41)=0,"",ROUND(B36/SUMIF('統計總表'!$A$2:$A$41,A36,'統計總表'!$F$2:$F$41),0))</x:f>
      </x:c>
      <x:c r="F36" s="13" t="str">
        <x:f>IF(SUMIF('統計總表'!$A$2:$A$41,A36,'統計總表'!$G$2:$G$41)=0,"",ROUND(B36/SUMIF('統計總表'!$A$2:$A$41,A36,'統計總表'!$G$2:$G$41),0))</x:f>
      </x:c>
    </x:row>
    <x:row r="37" ht="22" customHeight="1">
      <x:c r="A37" s="11" t="str">
        <x:f>IF('統計總表'!A37="","",'統計總表'!A37)</x:f>
      </x:c>
      <x:c r="B37" s="13" t="str">
        <x:f>IF(A37="","",SUMIF('統計總表'!$A$2:$A$41,A37,'統計總表'!$C$2:$C$41))</x:f>
      </x:c>
      <x:c r="C37" s="13" t="str">
        <x:f>IF(SUMIF('統計總表'!$A$2:$A$41,A37,'統計總表'!$D$2:$D$41)=0,"",ROUND(B37/SUMIF('統計總表'!$A$2:$A$41,A37,'統計總表'!$D$2:$D$41),0))</x:f>
      </x:c>
      <x:c r="D37" s="13" t="str">
        <x:f>IF(SUMIF('統計總表'!$A$2:$A$41,A37,'統計總表'!$E$2:$E$41)=0,"",ROUND(B37/SUMIF('統計總表'!$A$2:$A$41,A37,'統計總表'!$E$2:$E$41),0))</x:f>
      </x:c>
      <x:c r="E37" s="13" t="str">
        <x:f>IF(SUMIF('統計總表'!$A$2:$A$41,A37,'統計總表'!$F$2:$F$41)=0,"",ROUND(B37/SUMIF('統計總表'!$A$2:$A$41,A37,'統計總表'!$F$2:$F$41),0))</x:f>
      </x:c>
      <x:c r="F37" s="13" t="str">
        <x:f>IF(SUMIF('統計總表'!$A$2:$A$41,A37,'統計總表'!$G$2:$G$41)=0,"",ROUND(B37/SUMIF('統計總表'!$A$2:$A$41,A37,'統計總表'!$G$2:$G$41),0))</x:f>
      </x:c>
    </x:row>
    <x:row r="38" ht="22" customHeight="1">
      <x:c r="A38" s="11" t="str">
        <x:f>IF('統計總表'!A38="","",'統計總表'!A38)</x:f>
      </x:c>
      <x:c r="B38" s="13" t="str">
        <x:f>IF(A38="","",SUMIF('統計總表'!$A$2:$A$41,A38,'統計總表'!$C$2:$C$41))</x:f>
      </x:c>
      <x:c r="C38" s="13" t="str">
        <x:f>IF(SUMIF('統計總表'!$A$2:$A$41,A38,'統計總表'!$D$2:$D$41)=0,"",ROUND(B38/SUMIF('統計總表'!$A$2:$A$41,A38,'統計總表'!$D$2:$D$41),0))</x:f>
      </x:c>
      <x:c r="D38" s="13" t="str">
        <x:f>IF(SUMIF('統計總表'!$A$2:$A$41,A38,'統計總表'!$E$2:$E$41)=0,"",ROUND(B38/SUMIF('統計總表'!$A$2:$A$41,A38,'統計總表'!$E$2:$E$41),0))</x:f>
      </x:c>
      <x:c r="E38" s="13" t="str">
        <x:f>IF(SUMIF('統計總表'!$A$2:$A$41,A38,'統計總表'!$F$2:$F$41)=0,"",ROUND(B38/SUMIF('統計總表'!$A$2:$A$41,A38,'統計總表'!$F$2:$F$41),0))</x:f>
      </x:c>
      <x:c r="F38" s="13" t="str">
        <x:f>IF(SUMIF('統計總表'!$A$2:$A$41,A38,'統計總表'!$G$2:$G$41)=0,"",ROUND(B38/SUMIF('統計總表'!$A$2:$A$41,A38,'統計總表'!$G$2:$G$41),0))</x:f>
      </x:c>
    </x:row>
    <x:row r="39" ht="22" customHeight="1">
      <x:c r="A39" s="11" t="str">
        <x:f>IF('統計總表'!A39="","",'統計總表'!A39)</x:f>
      </x:c>
      <x:c r="B39" s="13" t="str">
        <x:f>IF(A39="","",SUMIF('統計總表'!$A$2:$A$41,A39,'統計總表'!$C$2:$C$41))</x:f>
      </x:c>
      <x:c r="C39" s="13" t="str">
        <x:f>IF(SUMIF('統計總表'!$A$2:$A$41,A39,'統計總表'!$D$2:$D$41)=0,"",ROUND(B39/SUMIF('統計總表'!$A$2:$A$41,A39,'統計總表'!$D$2:$D$41),0))</x:f>
      </x:c>
      <x:c r="D39" s="13" t="str">
        <x:f>IF(SUMIF('統計總表'!$A$2:$A$41,A39,'統計總表'!$E$2:$E$41)=0,"",ROUND(B39/SUMIF('統計總表'!$A$2:$A$41,A39,'統計總表'!$E$2:$E$41),0))</x:f>
      </x:c>
      <x:c r="E39" s="13" t="str">
        <x:f>IF(SUMIF('統計總表'!$A$2:$A$41,A39,'統計總表'!$F$2:$F$41)=0,"",ROUND(B39/SUMIF('統計總表'!$A$2:$A$41,A39,'統計總表'!$F$2:$F$41),0))</x:f>
      </x:c>
      <x:c r="F39" s="13" t="str">
        <x:f>IF(SUMIF('統計總表'!$A$2:$A$41,A39,'統計總表'!$G$2:$G$41)=0,"",ROUND(B39/SUMIF('統計總表'!$A$2:$A$41,A39,'統計總表'!$G$2:$G$41),0))</x:f>
      </x:c>
    </x:row>
    <x:row r="40" ht="22" customHeight="1">
      <x:c r="A40" s="11" t="str">
        <x:f>IF('統計總表'!A40="","",'統計總表'!A40)</x:f>
      </x:c>
      <x:c r="B40" s="13" t="str">
        <x:f>IF(A40="","",SUMIF('統計總表'!$A$2:$A$41,A40,'統計總表'!$C$2:$C$41))</x:f>
      </x:c>
      <x:c r="C40" s="13" t="str">
        <x:f>IF(SUMIF('統計總表'!$A$2:$A$41,A40,'統計總表'!$D$2:$D$41)=0,"",ROUND(B40/SUMIF('統計總表'!$A$2:$A$41,A40,'統計總表'!$D$2:$D$41),0))</x:f>
      </x:c>
      <x:c r="D40" s="13" t="str">
        <x:f>IF(SUMIF('統計總表'!$A$2:$A$41,A40,'統計總表'!$E$2:$E$41)=0,"",ROUND(B40/SUMIF('統計總表'!$A$2:$A$41,A40,'統計總表'!$E$2:$E$41),0))</x:f>
      </x:c>
      <x:c r="E40" s="13" t="str">
        <x:f>IF(SUMIF('統計總表'!$A$2:$A$41,A40,'統計總表'!$F$2:$F$41)=0,"",ROUND(B40/SUMIF('統計總表'!$A$2:$A$41,A40,'統計總表'!$F$2:$F$41),0))</x:f>
      </x:c>
      <x:c r="F40" s="13" t="str">
        <x:f>IF(SUMIF('統計總表'!$A$2:$A$41,A40,'統計總表'!$G$2:$G$41)=0,"",ROUND(B40/SUMIF('統計總表'!$A$2:$A$41,A40,'統計總表'!$G$2:$G$41),0))</x:f>
      </x:c>
    </x:row>
    <x:row r="41" ht="22" customHeight="1">
      <x:c r="A41" s="11" t="str">
        <x:f>IF('統計總表'!A41="","",'統計總表'!A41)</x:f>
      </x:c>
      <x:c r="B41" s="13" t="str">
        <x:f>IF(A41="","",SUMIF('統計總表'!$A$2:$A$41,A41,'統計總表'!$C$2:$C$41))</x:f>
      </x:c>
      <x:c r="C41" s="13" t="str">
        <x:f>IF(SUMIF('統計總表'!$A$2:$A$41,A41,'統計總表'!$D$2:$D$41)=0,"",ROUND(B41/SUMIF('統計總表'!$A$2:$A$41,A41,'統計總表'!$D$2:$D$41),0))</x:f>
      </x:c>
      <x:c r="D41" s="13" t="str">
        <x:f>IF(SUMIF('統計總表'!$A$2:$A$41,A41,'統計總表'!$E$2:$E$41)=0,"",ROUND(B41/SUMIF('統計總表'!$A$2:$A$41,A41,'統計總表'!$E$2:$E$41),0))</x:f>
      </x:c>
      <x:c r="E41" s="13" t="str">
        <x:f>IF(SUMIF('統計總表'!$A$2:$A$41,A41,'統計總表'!$F$2:$F$41)=0,"",ROUND(B41/SUMIF('統計總表'!$A$2:$A$41,A41,'統計總表'!$F$2:$F$41),0))</x:f>
      </x:c>
      <x:c r="F41" s="13" t="str">
        <x:f>IF(SUMIF('統計總表'!$A$2:$A$41,A41,'統計總表'!$G$2:$G$41)=0,"",ROUND(B41/SUMIF('統計總表'!$A$2:$A$41,A41,'統計總表'!$G$2:$G$41),0))</x:f>
      </x:c>
    </x:row>
  </x:sheetData>
  <x:pageMargins left="0.7" right="0.7" top="0.75" bottom="0.75" header="0.3" footer="0.3"/>
</x:worksheet>
</file>